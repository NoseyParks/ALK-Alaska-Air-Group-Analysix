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thomascaton/My Drive (thomcaton@gmail.com)/Baked Alaska/"/>
    </mc:Choice>
  </mc:AlternateContent>
  <xr:revisionPtr revIDLastSave="0" documentId="13_ncr:1_{373CB4F0-00D8-7C4A-B684-CC99E9167871}" xr6:coauthVersionLast="47" xr6:coauthVersionMax="47" xr10:uidLastSave="{00000000-0000-0000-0000-000000000000}"/>
  <bookViews>
    <workbookView xWindow="11540" yWindow="10060" windowWidth="41140" windowHeight="21740" tabRatio="500" xr2:uid="{00000000-000D-0000-FFFF-FFFF00000000}"/>
  </bookViews>
  <sheets>
    <sheet name="Cover" sheetId="1" r:id="rId1"/>
    <sheet name="Sch1 ALK SEC Data" sheetId="2" r:id="rId2"/>
    <sheet name="Sch2 Peers SEC Data" sheetId="3" r:id="rId3"/>
    <sheet name="Sch3 Issuance Analysis" sheetId="4" r:id="rId4"/>
    <sheet name="Sch4 Partner Redemptions" sheetId="5" r:id="rId5"/>
    <sheet name="Sch5 Balance Sheet Trail" sheetId="6" r:id="rId6"/>
    <sheet name="Sch6 Materiality" sheetId="7" r:id="rId7"/>
    <sheet name="Sch7 Financial Impact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1" i="8" l="1"/>
  <c r="C71" i="8"/>
  <c r="B71" i="8"/>
  <c r="B60" i="8"/>
  <c r="D54" i="8"/>
  <c r="C54" i="8"/>
  <c r="B54" i="8"/>
  <c r="D50" i="8"/>
  <c r="C50" i="8"/>
  <c r="B50" i="8"/>
  <c r="D46" i="8"/>
  <c r="C46" i="8"/>
  <c r="B46" i="8"/>
  <c r="D38" i="8"/>
  <c r="C38" i="8"/>
  <c r="B38" i="8"/>
  <c r="D32" i="8"/>
  <c r="D60" i="8" s="1"/>
  <c r="C32" i="8"/>
  <c r="C60" i="8" s="1"/>
  <c r="B32" i="8"/>
  <c r="D22" i="8"/>
  <c r="D24" i="8" s="1"/>
  <c r="D59" i="8" s="1"/>
  <c r="C22" i="8"/>
  <c r="C24" i="8" s="1"/>
  <c r="C59" i="8" s="1"/>
  <c r="B22" i="8"/>
  <c r="B24" i="8" s="1"/>
  <c r="B59" i="8" s="1"/>
  <c r="D19" i="8"/>
  <c r="D58" i="8" s="1"/>
  <c r="D17" i="8"/>
  <c r="D18" i="8" s="1"/>
  <c r="C17" i="8"/>
  <c r="C42" i="8" s="1"/>
  <c r="C55" i="8" s="1"/>
  <c r="C61" i="8" s="1"/>
  <c r="B17" i="8"/>
  <c r="B19" i="8" s="1"/>
  <c r="B58" i="8" s="1"/>
  <c r="B10" i="7"/>
  <c r="B13" i="7" s="1"/>
  <c r="D7" i="7"/>
  <c r="D6" i="7"/>
  <c r="D5" i="7"/>
  <c r="B22" i="6"/>
  <c r="B27" i="6" s="1"/>
  <c r="D12" i="6"/>
  <c r="E11" i="6"/>
  <c r="D11" i="6"/>
  <c r="C11" i="6"/>
  <c r="B11" i="6"/>
  <c r="E6" i="6"/>
  <c r="D6" i="6"/>
  <c r="D7" i="6" s="1"/>
  <c r="C6" i="6"/>
  <c r="B6" i="6"/>
  <c r="C7" i="6" s="1"/>
  <c r="H7" i="5"/>
  <c r="C21" i="5" s="1"/>
  <c r="G7" i="5"/>
  <c r="B21" i="5" s="1"/>
  <c r="F7" i="5"/>
  <c r="E7" i="5"/>
  <c r="D7" i="5"/>
  <c r="C7" i="5"/>
  <c r="B7" i="5"/>
  <c r="H6" i="5"/>
  <c r="H8" i="5" s="1"/>
  <c r="G6" i="5"/>
  <c r="F6" i="5"/>
  <c r="F8" i="5" s="1"/>
  <c r="E6" i="5"/>
  <c r="D6" i="5"/>
  <c r="C6" i="5"/>
  <c r="B6" i="5"/>
  <c r="B28" i="4"/>
  <c r="B26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D28" i="4" s="1"/>
  <c r="N11" i="4"/>
  <c r="M11" i="4"/>
  <c r="B27" i="4" s="1"/>
  <c r="L11" i="4"/>
  <c r="K11" i="4"/>
  <c r="J11" i="4"/>
  <c r="I11" i="4"/>
  <c r="H11" i="4"/>
  <c r="G11" i="4"/>
  <c r="F11" i="4"/>
  <c r="E11" i="4"/>
  <c r="D11" i="4"/>
  <c r="C11" i="4"/>
  <c r="D27" i="4" s="1"/>
  <c r="B11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C26" i="4" s="1"/>
  <c r="N7" i="4"/>
  <c r="M7" i="4"/>
  <c r="B31" i="4" s="1"/>
  <c r="L7" i="4"/>
  <c r="K7" i="4"/>
  <c r="J7" i="4"/>
  <c r="I7" i="4"/>
  <c r="H7" i="4"/>
  <c r="G7" i="4"/>
  <c r="F7" i="4"/>
  <c r="E7" i="4"/>
  <c r="D7" i="4"/>
  <c r="C7" i="4"/>
  <c r="B7" i="4"/>
  <c r="N6" i="4"/>
  <c r="M6" i="4"/>
  <c r="B32" i="4" s="1"/>
  <c r="L6" i="4"/>
  <c r="K6" i="4"/>
  <c r="J6" i="4"/>
  <c r="I6" i="4"/>
  <c r="H6" i="4"/>
  <c r="G6" i="4"/>
  <c r="F6" i="4"/>
  <c r="E6" i="4"/>
  <c r="D6" i="4"/>
  <c r="C6" i="4"/>
  <c r="B6" i="4"/>
  <c r="B8" i="5" l="1"/>
  <c r="D8" i="5"/>
  <c r="E8" i="5"/>
  <c r="C8" i="5"/>
  <c r="B13" i="5"/>
  <c r="B12" i="5"/>
  <c r="B22" i="5" s="1"/>
  <c r="E7" i="6"/>
  <c r="G8" i="4"/>
  <c r="H8" i="4"/>
  <c r="B8" i="4"/>
  <c r="I8" i="4"/>
  <c r="J8" i="4"/>
  <c r="E8" i="4"/>
  <c r="F8" i="4"/>
  <c r="N8" i="4"/>
  <c r="B20" i="4" s="1"/>
  <c r="G8" i="5"/>
  <c r="C28" i="4"/>
  <c r="E28" i="4" s="1"/>
  <c r="C19" i="8"/>
  <c r="C58" i="8" s="1"/>
  <c r="C62" i="8" s="1"/>
  <c r="D42" i="8"/>
  <c r="D55" i="8" s="1"/>
  <c r="D61" i="8" s="1"/>
  <c r="D62" i="8" s="1"/>
  <c r="C18" i="8"/>
  <c r="B18" i="8"/>
  <c r="B42" i="8"/>
  <c r="B55" i="8" s="1"/>
  <c r="B61" i="8" s="1"/>
  <c r="B62" i="8" s="1"/>
  <c r="C8" i="4"/>
  <c r="D8" i="4"/>
  <c r="L8" i="4"/>
  <c r="K8" i="4"/>
  <c r="M8" i="4"/>
  <c r="B25" i="4" s="1"/>
  <c r="B15" i="6"/>
  <c r="C12" i="6"/>
  <c r="E12" i="6"/>
  <c r="B16" i="6" s="1"/>
  <c r="B17" i="6" s="1"/>
  <c r="D21" i="5"/>
  <c r="B16" i="5"/>
  <c r="C27" i="4"/>
  <c r="E27" i="4" s="1"/>
  <c r="B11" i="7"/>
  <c r="B23" i="5"/>
  <c r="D26" i="4"/>
  <c r="E26" i="4" s="1"/>
  <c r="B23" i="6"/>
  <c r="B12" i="7"/>
  <c r="B18" i="4"/>
  <c r="C23" i="5"/>
  <c r="C22" i="5" l="1"/>
  <c r="D22" i="5" s="1"/>
  <c r="B15" i="5"/>
  <c r="B17" i="5"/>
  <c r="B17" i="4"/>
  <c r="B28" i="6"/>
  <c r="B14" i="5"/>
  <c r="B16" i="4"/>
  <c r="D25" i="4"/>
  <c r="B64" i="8"/>
  <c r="B72" i="8"/>
  <c r="B73" i="8"/>
  <c r="D73" i="8"/>
  <c r="D64" i="8"/>
  <c r="D72" i="8"/>
  <c r="C73" i="8"/>
  <c r="C64" i="8"/>
  <c r="C72" i="8"/>
  <c r="C25" i="4"/>
  <c r="B24" i="5"/>
  <c r="D23" i="5"/>
  <c r="C24" i="5"/>
  <c r="B19" i="4" l="1"/>
  <c r="B33" i="4"/>
  <c r="B34" i="4" s="1"/>
  <c r="B21" i="4"/>
  <c r="E25" i="4"/>
  <c r="D24" i="5"/>
  <c r="B28" i="5" s="1"/>
  <c r="B29" i="5" s="1"/>
</calcChain>
</file>

<file path=xl/sharedStrings.xml><?xml version="1.0" encoding="utf-8"?>
<sst xmlns="http://schemas.openxmlformats.org/spreadsheetml/2006/main" count="364" uniqueCount="296">
  <si>
    <t>ALASKA AIR GROUP, INC. (NYSE: ALK)</t>
  </si>
  <si>
    <t>FORENSIC ACCOUNTING DATA BOOK</t>
  </si>
  <si>
    <t>Supporting Schedules for:</t>
  </si>
  <si>
    <t>The 10-Sigma Anomaly: Undisclosed Cybersecurity Crisis</t>
  </si>
  <si>
    <t>and $120M Accounting Irregularities</t>
  </si>
  <si>
    <t>December 2025</t>
  </si>
  <si>
    <t>CONTENTS</t>
  </si>
  <si>
    <t>Schedule 1</t>
  </si>
  <si>
    <t>SEC Filing Data - Alaska Air Group</t>
  </si>
  <si>
    <t>Raw quarterly data from 10-Q/10-K filings</t>
  </si>
  <si>
    <t>Schedule 2</t>
  </si>
  <si>
    <t>SEC Filing Data - Peer Airlines</t>
  </si>
  <si>
    <t>United, Delta, American comparative data</t>
  </si>
  <si>
    <t>Schedule 3</t>
  </si>
  <si>
    <t>Issuance-to-Revenue Analysis</t>
  </si>
  <si>
    <t>The 10.40σ anomaly calculation</t>
  </si>
  <si>
    <t>Schedule 4</t>
  </si>
  <si>
    <t>Partner Redemption Analysis</t>
  </si>
  <si>
    <t>The $45M excess calculation</t>
  </si>
  <si>
    <t>Schedule 5</t>
  </si>
  <si>
    <t>Balance Sheet Trail</t>
  </si>
  <si>
    <t>Receivable spike and NCA reclassification</t>
  </si>
  <si>
    <t>Schedule 6</t>
  </si>
  <si>
    <t>Materiality Assessment</t>
  </si>
  <si>
    <t>SAB 99 analysis</t>
  </si>
  <si>
    <t>COLOUR KEY</t>
  </si>
  <si>
    <t>Blue text</t>
  </si>
  <si>
    <t>Hardcoded input from SEC filing</t>
  </si>
  <si>
    <t>Green text</t>
  </si>
  <si>
    <t>Formula linking to another schedule</t>
  </si>
  <si>
    <t>Black text</t>
  </si>
  <si>
    <t>Calculated formula</t>
  </si>
  <si>
    <t>Yellow highlight</t>
  </si>
  <si>
    <t>Key assumption</t>
  </si>
  <si>
    <t>Red highlight</t>
  </si>
  <si>
    <t>Key finding / anomaly</t>
  </si>
  <si>
    <t>SCHEDULE 1: ALASKA AIR GROUP - SEC FILING DATA</t>
  </si>
  <si>
    <t>Source: 10-Q and 10-K filings, EDGAR. All figures in $M unless stated.</t>
  </si>
  <si>
    <t>Period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</si>
  <si>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</si>
  <si>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</si>
  <si>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</si>
  <si>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</si>
  <si>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</si>
  <si>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</si>
  <si>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</si>
  <si>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</si>
  <si>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</si>
  <si>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</si>
  <si>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</si>
  <si>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</si>
  <si>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</si>
  <si>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BALANCE SHEET ITEMS</t>
  </si>
  <si>
    <t>Other Non-Current Assets</t>
  </si>
  <si>
    <t>Receivables from Affinity Card Partners</t>
  </si>
  <si>
    <t>LOYALTY PROGRAMME ITEMS (QUARTERLY)</t>
  </si>
  <si>
    <t>Loyalty Points Issued (Quarterly)</t>
  </si>
  <si>
    <t>Loyalty Redemptions - Passenger (Quarterly)</t>
  </si>
  <si>
    <t>Loyalty Redemptions - Partner (Quarterly)</t>
  </si>
  <si>
    <t>Loyalty Other Revenue (Quarterly)</t>
  </si>
  <si>
    <t>Source: Alaska Air Group 10-Q filings (Q1-Q3 each year) and 10-K filings (Q4/FY), SEC EDGAR</t>
  </si>
  <si>
    <t>SCHEDULE 2: PEER AIRLINES - SEC FILING DATA</t>
  </si>
  <si>
    <t>UNITED AIRLINES (UAL)</t>
  </si>
  <si>
    <t>Points Issued (Quarterly)</t>
  </si>
  <si>
    <t>Other Marketing Revenue (Quarterly)</t>
  </si>
  <si>
    <t>DELTA AIR LINES (DAL)</t>
  </si>
  <si>
    <t>Loyalty Program Revenue (Quarterly)</t>
  </si>
  <si>
    <t>AMERICAN AIRLINES (AAL)</t>
  </si>
  <si>
    <t>Loyalty Revenue - Marketing (Quarterly)</t>
  </si>
  <si>
    <t>SCHEDULE 3: ISSUANCE-TO-REVENUE RATIO ANALYSIS</t>
  </si>
  <si>
    <t>The 10.40σ Anomaly - Statistical Analysis</t>
  </si>
  <si>
    <t>A. QUARTERLY DATA</t>
  </si>
  <si>
    <t>ALK: Points Issued ($M)</t>
  </si>
  <si>
    <t>ALK: Loyalty Other Revenue ($M)</t>
  </si>
  <si>
    <t>ALK: Issuance-to-Revenue Ratio</t>
  </si>
  <si>
    <t>UAL: Issuance-to-Revenue Ratio</t>
  </si>
  <si>
    <t>DAL: Issuance-to-Revenue Ratio</t>
  </si>
  <si>
    <t>AAL: Issuance-to-Revenue Ratio</t>
  </si>
  <si>
    <t>B. STATISTICAL ANALYSIS</t>
  </si>
  <si>
    <t>Baseline Period</t>
  </si>
  <si>
    <t>Q3 2022 - Q1 2025 (11 quarters)</t>
  </si>
  <si>
    <t>Baseline Mean (μ)</t>
  </si>
  <si>
    <t>Baseline Std Dev (σ)</t>
  </si>
  <si>
    <t>Q2 2025 Observed Ratio</t>
  </si>
  <si>
    <t>Q2 2025 Z-Score</t>
  </si>
  <si>
    <t>Q3 2025 Observed Ratio</t>
  </si>
  <si>
    <t>Q3 2025 Z-Score (Reversion)</t>
  </si>
  <si>
    <t>C. PEER COMPARISON - Q2 2025</t>
  </si>
  <si>
    <t>Airline</t>
  </si>
  <si>
    <t>Q2 2025 Ratio</t>
  </si>
  <si>
    <t>Baseline Mean</t>
  </si>
  <si>
    <t>Baseline σ</t>
  </si>
  <si>
    <t>Z-Score</t>
  </si>
  <si>
    <t>Alaska Air Group</t>
  </si>
  <si>
    <t>United Airlines</t>
  </si>
  <si>
    <t>Delta Air Lines</t>
  </si>
  <si>
    <t>American Airlines</t>
  </si>
  <si>
    <t>D. EXCESS ISSUANCE CALCULATION</t>
  </si>
  <si>
    <t>Q2 2025 Loyalty Other Revenue ($M)</t>
  </si>
  <si>
    <t>Actual Q2 2025 Issuance ($M)</t>
  </si>
  <si>
    <t>Expected Issuance at Baseline Ratio ($M)</t>
  </si>
  <si>
    <t>Excess Issuance ($M)</t>
  </si>
  <si>
    <t>SCHEDULE 4: PARTNER REDEMPTION RATIO ANALYSIS</t>
  </si>
  <si>
    <t>The $45M Excess - Convergence with Fraud Estimate</t>
  </si>
  <si>
    <t>A. QUARTERLY DATA (Q1 2024 - Q3 2025)</t>
  </si>
  <si>
    <t>Partner Redemptions ($M)</t>
  </si>
  <si>
    <t>Passenger Redemptions ($M)</t>
  </si>
  <si>
    <t>Partner / Passenger Ratio</t>
  </si>
  <si>
    <t>Q1 2024 - Q1 2025 (5 quarters)</t>
  </si>
  <si>
    <t>Q3 2025 Ratio</t>
  </si>
  <si>
    <t>Q3 2025 Z-Score</t>
  </si>
  <si>
    <t>C. EXPECTED VS ACTUAL PARTNER REDEMPTIONS</t>
  </si>
  <si>
    <t>Total</t>
  </si>
  <si>
    <t>Expected Partner at Baseline Ratio ($M)</t>
  </si>
  <si>
    <t>Actual Partner Redemptions ($M)</t>
  </si>
  <si>
    <t>Excess Partner Redemptions ($M)</t>
  </si>
  <si>
    <t>D. CONVERGENCE WITH FRAUD ESTIMATE</t>
  </si>
  <si>
    <t>Bottom-Up Fraud Estimate</t>
  </si>
  <si>
    <t>26,500 victims × 218k miles × $0.0075/mile</t>
  </si>
  <si>
    <t>Top-Down Excess Partner Redemptions</t>
  </si>
  <si>
    <t>Convergence</t>
  </si>
  <si>
    <t>SCHEDULE 5: BALANCE SHEET TRAIL</t>
  </si>
  <si>
    <t>Receivable Spike, Non-Collection, and Reclassification Analysis</t>
  </si>
  <si>
    <t>A. AFFINITY CARD RECEIVABLES</t>
  </si>
  <si>
    <t>Receivables from Affinity Partners ($M)</t>
  </si>
  <si>
    <t>Quarter-on-Quarter Change ($M)</t>
  </si>
  <si>
    <t>-</t>
  </si>
  <si>
    <t>B. OTHER NON-CURRENT ASSETS</t>
  </si>
  <si>
    <t>Other Non-Current Assets ($M)</t>
  </si>
  <si>
    <t>C. RECLASSIFICATION ANALYSIS</t>
  </si>
  <si>
    <t>Q3 2025 Receivable Decrease</t>
  </si>
  <si>
    <t>Q3 2025 NCA Increase</t>
  </si>
  <si>
    <t>Implied Reclassification Amount</t>
  </si>
  <si>
    <t>D. RETROACTIVE RESTATEMENT (Q4 2024)</t>
  </si>
  <si>
    <t>Originally Reported (Q1 2025 10-Q)</t>
  </si>
  <si>
    <t>Source: ALK Q1 2025 10-Q, Note 3</t>
  </si>
  <si>
    <t>Restated (Q2 2025 10-Q)</t>
  </si>
  <si>
    <t>Source: ALK Q2 2025 10-Q, Note 3</t>
  </si>
  <si>
    <t>Restatement Amount</t>
  </si>
  <si>
    <t>Restatement Percentage</t>
  </si>
  <si>
    <t>E. MATERIALITY CONTEXT</t>
  </si>
  <si>
    <t>2024 Net Income</t>
  </si>
  <si>
    <t>Source: ALK 2024 10-K</t>
  </si>
  <si>
    <t>Restatement as % of Net Income</t>
  </si>
  <si>
    <t>NCA Increase as % of Net Income</t>
  </si>
  <si>
    <t>Standard Materiality Threshold (SAB 99)</t>
  </si>
  <si>
    <t>Exceeds Threshold?</t>
  </si>
  <si>
    <t>YES</t>
  </si>
  <si>
    <t>SCHEDULE 6: SAB 99 MATERIALITY ASSESSMENT</t>
  </si>
  <si>
    <t>A. QUANTITATIVE THRESHOLDS</t>
  </si>
  <si>
    <t>Benchmark</t>
  </si>
  <si>
    <t>Value ($M)</t>
  </si>
  <si>
    <t>Threshold %</t>
  </si>
  <si>
    <t>Threshold ($M)</t>
  </si>
  <si>
    <t>2024 Total Revenue</t>
  </si>
  <si>
    <t>2024 Total Assets</t>
  </si>
  <si>
    <t>B. ESTIMATED MISSTATEMENT VS THRESHOLDS</t>
  </si>
  <si>
    <t>Estimated Misstatement (NCA Increase)</t>
  </si>
  <si>
    <t>Multiple of Net Income Threshold</t>
  </si>
  <si>
    <t>Multiple of Revenue Threshold</t>
  </si>
  <si>
    <t>Multiple of Assets Threshold</t>
  </si>
  <si>
    <t>C. SAB 99 QUALITATIVE FACTORS</t>
  </si>
  <si>
    <t>Masks a change in earnings or other trends?</t>
  </si>
  <si>
    <t>Q2 spike obscures loyalty programme trajectory</t>
  </si>
  <si>
    <t>Hides failure to meet consensus expectations?</t>
  </si>
  <si>
    <t>POTENTIAL</t>
  </si>
  <si>
    <t>Loyalty revenue growth pattern affected</t>
  </si>
  <si>
    <t>Changes a loss into income or vice versa?</t>
  </si>
  <si>
    <t>NO</t>
  </si>
  <si>
    <t>Company remained profitable</t>
  </si>
  <si>
    <t>Affects compliance with loan covenants?</t>
  </si>
  <si>
    <t>$2B BofA facility secured by Mileage Plan</t>
  </si>
  <si>
    <t>Affects compliance with regulatory requirements?</t>
  </si>
  <si>
    <t>DoT merger commitments; state breach notification</t>
  </si>
  <si>
    <t>Increases management compensation?</t>
  </si>
  <si>
    <t>UNKNOWN</t>
  </si>
  <si>
    <t>Compensation tied to financial metrics</t>
  </si>
  <si>
    <t>Involves concealment of unlawful transaction?</t>
  </si>
  <si>
    <t>UNDER REVIEW</t>
  </si>
  <si>
    <t>Potential breach notification failure</t>
  </si>
  <si>
    <t>SCHEDULE 7: FINANCIAL EXPOSURE METHODOLOGY</t>
  </si>
  <si>
    <t>Alaska Air Group, Inc. (ALK) - Revised Estimates</t>
  </si>
  <si>
    <t>All values in $M unless otherwise noted</t>
  </si>
  <si>
    <t>Parameter</t>
  </si>
  <si>
    <t>Conservative</t>
  </si>
  <si>
    <t>Central</t>
  </si>
  <si>
    <t>Aggressive</t>
  </si>
  <si>
    <t>Notes / Source</t>
  </si>
  <si>
    <t>SECTION A: KEY REFERENCE INPUTS</t>
  </si>
  <si>
    <t>Net Income 2024 ($M)</t>
  </si>
  <si>
    <t>ALK 2024 10-K</t>
  </si>
  <si>
    <t>Central Victim Estimate</t>
  </si>
  <si>
    <t>Appendix B</t>
  </si>
  <si>
    <t>Miles per Victim</t>
  </si>
  <si>
    <t>80 quantified incidents</t>
  </si>
  <si>
    <t>SSP per Mile ($)</t>
  </si>
  <si>
    <t>Inferred from 2024 10-K</t>
  </si>
  <si>
    <t>NCA Increase Q2-Q3 2025 ($M)</t>
  </si>
  <si>
    <t>ALK Q3 2025 10-Q</t>
  </si>
  <si>
    <t>Q4 2024 Restatement ($M)</t>
  </si>
  <si>
    <t>ALK Q2 2025 10-Q (restated)</t>
  </si>
  <si>
    <t>SECTION B: DIRECT FRAUD LOSSES</t>
  </si>
  <si>
    <t>Victim Multiplier</t>
  </si>
  <si>
    <t>0.5x to 2x central estimate</t>
  </si>
  <si>
    <t>Estimated Victims</t>
  </si>
  <si>
    <t>Central × Multiplier</t>
  </si>
  <si>
    <t>Total Miles Stolen (billions)</t>
  </si>
  <si>
    <t>Victims × Miles per victim</t>
  </si>
  <si>
    <t>DIRECT FRAUD LOSS ($M)</t>
  </si>
  <si>
    <t>Victims × Miles × SSP</t>
  </si>
  <si>
    <t>SECTION C: RESTATEMENT / IMPAIRMENT</t>
  </si>
  <si>
    <t>Identified Anomaly ($M)</t>
  </si>
  <si>
    <t>NCA alone (cons) vs NCA+restatement</t>
  </si>
  <si>
    <t>Impairment Probability (%)</t>
  </si>
  <si>
    <t>Likelihood of required write-down</t>
  </si>
  <si>
    <t>RESTATEMENT/IMPAIRMENT ($M)</t>
  </si>
  <si>
    <t>Anomaly × Probability</t>
  </si>
  <si>
    <t>SECTION D: REGULATORY PENALTIES (REVISED)</t>
  </si>
  <si>
    <t>SEC Penalty ($M)</t>
  </si>
  <si>
    <t>Unisys $4M to Fluor $14.5M precedents</t>
  </si>
  <si>
    <t>DOT Penalty ($M)</t>
  </si>
  <si>
    <t>Southwest $140M; merger breach</t>
  </si>
  <si>
    <t>WA AG Penalty ($M)</t>
  </si>
  <si>
    <t>Blackbaud WA share $2.9M</t>
  </si>
  <si>
    <t>FTC Penalty ($M)</t>
  </si>
  <si>
    <t>Avast $16.5M precedent</t>
  </si>
  <si>
    <t>CFPB Penalty ($M)</t>
  </si>
  <si>
    <t>Circular 2024-07; loyalty focus</t>
  </si>
  <si>
    <t>TOTAL REGULATORY PENALTIES ($M)</t>
  </si>
  <si>
    <t>Sum of agency penalties</t>
  </si>
  <si>
    <t>SECTION E: LITIGATION RESERVES (REVISED)</t>
  </si>
  <si>
    <t>E.1 Securities Class Action</t>
  </si>
  <si>
    <t>SCA Filing Probability (%)</t>
  </si>
  <si>
    <t>Boeing-calibrated probability</t>
  </si>
  <si>
    <t>SCA Settlement if Filed ($M)</t>
  </si>
  <si>
    <t>Boeing Fair Fund $201M precedent</t>
  </si>
  <si>
    <t>SCA Expected Value ($M)</t>
  </si>
  <si>
    <t>Probability × Settlement</t>
  </si>
  <si>
    <t>E.2 Consumer Class Action</t>
  </si>
  <si>
    <t>Consumer Filing Probability (%)</t>
  </si>
  <si>
    <t>ADA preemption uncertainty</t>
  </si>
  <si>
    <t>Per-Member Recovery ($)</t>
  </si>
  <si>
    <t>Data breach settlement precedents</t>
  </si>
  <si>
    <t>Consumer Expected Value ($M)</t>
  </si>
  <si>
    <t>Prob × Class × Per-member</t>
  </si>
  <si>
    <t>E.3 Shareholder Derivative</t>
  </si>
  <si>
    <t>Derivative Filing Probability (%)</t>
  </si>
  <si>
    <t>Board oversight failure exposure</t>
  </si>
  <si>
    <t>Derivative Settlement ($M)</t>
  </si>
  <si>
    <t>Boeing $237.5M derivative precedent</t>
  </si>
  <si>
    <t>Derivative Expected Value ($M)</t>
  </si>
  <si>
    <t>E.4 CFPB-Related Actions</t>
  </si>
  <si>
    <t>CFPB Referral Probability (%)</t>
  </si>
  <si>
    <t>Circular 2024-07 enforcement focus</t>
  </si>
  <si>
    <t>CFPB Settlement ($M)</t>
  </si>
  <si>
    <t>Private action/state AG referral</t>
  </si>
  <si>
    <t>CFPB Expected Value ($M)</t>
  </si>
  <si>
    <t>E.5 Multistate AG Action</t>
  </si>
  <si>
    <t>Multistate Filing Probability (%)</t>
  </si>
  <si>
    <t>DOT-State AG partnership (Apr 2024)</t>
  </si>
  <si>
    <t>Multistate Settlement ($M)</t>
  </si>
  <si>
    <t>Blackbaud $49.5M; Uber $148M precedents</t>
  </si>
  <si>
    <t>Multistate Expected Value ($M)</t>
  </si>
  <si>
    <t>TOTAL LITIGATION RESERVES ($M)</t>
  </si>
  <si>
    <t>Sum of all litigation categories</t>
  </si>
  <si>
    <t>SECTION F: TOTAL FINANCIAL EXPOSURE</t>
  </si>
  <si>
    <t>Direct Fraud Losses ($M)</t>
  </si>
  <si>
    <t>From Section B</t>
  </si>
  <si>
    <t>Restatement/Impairment ($M)</t>
  </si>
  <si>
    <t>From Section C</t>
  </si>
  <si>
    <t>Regulatory Penalties ($M)</t>
  </si>
  <si>
    <t>From Section D</t>
  </si>
  <si>
    <t>Litigation Reserves ($M)</t>
  </si>
  <si>
    <t>From Section E</t>
  </si>
  <si>
    <t>GRAND TOTAL ($M)</t>
  </si>
  <si>
    <t>Sum of all categories</t>
  </si>
  <si>
    <t>As % of 2024 Net Income</t>
  </si>
  <si>
    <t>Total / Net Income</t>
  </si>
  <si>
    <t>SECTION G: COMPARISON TO REPORT ESTIMATES</t>
  </si>
  <si>
    <t>Report: Direct Fraud ($M)</t>
  </si>
  <si>
    <t>Report Executive Summary</t>
  </si>
  <si>
    <t>Report: Restatement ($M)</t>
  </si>
  <si>
    <t>Report: Regulatory ($M)</t>
  </si>
  <si>
    <t>Report: Litigation ($M)</t>
  </si>
  <si>
    <t>Report Total ($M)</t>
  </si>
  <si>
    <t>Sum of report estimates</t>
  </si>
  <si>
    <t>Variance (Calculated - Report)</t>
  </si>
  <si>
    <t>Positive = higher than report</t>
  </si>
  <si>
    <t>Variance %</t>
  </si>
  <si>
    <t>% difference from report</t>
  </si>
  <si>
    <t>Financial Impact</t>
  </si>
  <si>
    <t>Financial Statdement Overall Assessment</t>
  </si>
  <si>
    <t>Schedule 7</t>
  </si>
  <si>
    <t>*105 publshed in Q4 2024 and Q1 2025, re-stated without commentary to 176 in Q2 and Q3 2025</t>
  </si>
  <si>
    <t>Hyperlinked to precise SEC filing number</t>
  </si>
  <si>
    <t>Q3 2025 hyperlinked to precise SEC filing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</si>
</sst>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00"/>
    <numFmt numFmtId="165" formatCode="0.0000"/>
    <numFmt numFmtId="166" formatCode="0.00\σ"/>
    <numFmt numFmtId="167" formatCode="\+0.00\σ"/>
    <numFmt numFmtId="168" formatCode="\+0.00\σ;\-0.00\σ"/>
    <numFmt numFmtId="169" formatCode="\$#,##0\M"/>
    <numFmt numFmtId="170" formatCode="\+#,##0;\-#,##0;\-"/>
    <numFmt numFmtId="171" formatCode="0.0%"/>
    <numFmt numFmtId="172" formatCode="0.0\x"/>
    <numFmt numFmtId="173" formatCode="\$#,##0.0\M"/>
    <numFmt numFmtId="174" formatCode="0&quot;*&quot;"/>
    <numFmt numFmtId="175" formatCode="#,##0.0"/>
  </numFmts>
  <fonts count="25" x14ac:knownFonts="1">
    <font>
      <sz val="11"/>
      <color theme="1"/>
      <name val="Calibri"/>
      <family val="2"/>
      <charset val="1"/>
    </font>
    <font>
      <b/>
      <sz val="18"/>
      <name val="Calibri"/>
      <family val="2"/>
    </font>
    <font>
      <b/>
      <sz val="14"/>
      <name val="Calibri"/>
      <family val="2"/>
    </font>
    <font>
      <i/>
      <sz val="12"/>
      <name val="Calibri"/>
      <family val="2"/>
    </font>
    <font>
      <sz val="11"/>
      <name val="Calibri"/>
      <family val="2"/>
    </font>
    <font>
      <b/>
      <sz val="10"/>
      <color rgb="FF000000"/>
      <name val="Calibri"/>
      <family val="2"/>
    </font>
    <font>
      <i/>
      <sz val="9"/>
      <color rgb="FF666666"/>
      <name val="Calibri"/>
      <family val="2"/>
    </font>
    <font>
      <sz val="10"/>
      <color rgb="FF0000FF"/>
      <name val="Calibri"/>
      <family val="2"/>
    </font>
    <font>
      <sz val="10"/>
      <color rgb="FF008000"/>
      <name val="Calibri"/>
      <family val="2"/>
    </font>
    <font>
      <b/>
      <sz val="14"/>
      <color rgb="FF000000"/>
      <name val="Calibri"/>
      <family val="2"/>
    </font>
    <font>
      <i/>
      <sz val="9"/>
      <color rgb="FF666666"/>
      <name val="Cambria"/>
      <family val="1"/>
    </font>
    <font>
      <b/>
      <sz val="11"/>
      <color rgb="FFFFFFFF"/>
      <name val="Cambria"/>
      <family val="1"/>
    </font>
    <font>
      <b/>
      <sz val="11"/>
      <color rgb="FFFFFFFF"/>
      <name val="Calibri"/>
      <family val="2"/>
    </font>
    <font>
      <i/>
      <sz val="11"/>
      <color rgb="FF666666"/>
      <name val="Cambria"/>
      <family val="1"/>
    </font>
    <font>
      <b/>
      <sz val="12"/>
      <name val="Cambria"/>
      <family val="1"/>
    </font>
    <font>
      <b/>
      <sz val="11"/>
      <name val="Cambria"/>
      <family val="1"/>
    </font>
    <font>
      <b/>
      <sz val="12"/>
      <color rgb="FFCC0000"/>
      <name val="Cambria"/>
      <family val="1"/>
    </font>
    <font>
      <u/>
      <sz val="11"/>
      <color theme="10"/>
      <name val="Calibri"/>
      <family val="2"/>
      <charset val="1"/>
    </font>
    <font>
      <sz val="12"/>
      <color theme="1"/>
      <name val="Calibri"/>
      <family val="2"/>
    </font>
    <font>
      <b/>
      <sz val="14"/>
      <name val="Cambria"/>
      <family val="1"/>
    </font>
    <font>
      <i/>
      <sz val="11"/>
      <name val="Cambria"/>
      <family val="1"/>
    </font>
    <font>
      <sz val="11"/>
      <color rgb="FF0000FF"/>
      <name val="Cambria"/>
      <family val="1"/>
    </font>
    <font>
      <b/>
      <i/>
      <sz val="11"/>
      <name val="Cambria"/>
      <family val="1"/>
    </font>
    <font>
      <u/>
      <sz val="11"/>
      <color rgb="FF0000FF"/>
      <name val="Times New Roman"/>
      <family val="1"/>
    </font>
    <font>
      <i/>
      <u/>
      <sz val="9"/>
      <color rgb="FF666666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7CE"/>
        <bgColor rgb="FFCCCCFF"/>
      </patternFill>
    </fill>
    <fill>
      <patternFill patternType="solid">
        <fgColor rgb="FF4472C4"/>
        <bgColor rgb="FF666666"/>
      </patternFill>
    </fill>
    <fill>
      <patternFill patternType="solid">
        <fgColor rgb="FFF2F2F2"/>
        <bgColor rgb="FFFFFFFF"/>
      </patternFill>
    </fill>
    <fill>
      <patternFill patternType="solid">
        <fgColor rgb="FFDCE6F1"/>
        <bgColor rgb="FFF2F2F2"/>
      </patternFill>
    </fill>
    <fill>
      <patternFill patternType="solid">
        <fgColor rgb="FFC6EFCE"/>
        <bgColor rgb="FFDCE6F1"/>
      </patternFill>
    </fill>
    <fill>
      <patternFill patternType="solid">
        <fgColor rgb="FFD9D9D9"/>
        <bgColor rgb="FFDAEEF3"/>
      </patternFill>
    </fill>
    <fill>
      <patternFill patternType="solid">
        <fgColor rgb="FFDAEEF3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2" borderId="0" xfId="0" applyFill="1"/>
    <xf numFmtId="0" fontId="0" fillId="3" borderId="0" xfId="0" applyFill="1"/>
    <xf numFmtId="0" fontId="10" fillId="0" borderId="0" xfId="0" applyFont="1"/>
    <xf numFmtId="0" fontId="11" fillId="4" borderId="0" xfId="0" applyFont="1" applyFill="1"/>
    <xf numFmtId="0" fontId="11" fillId="4" borderId="0" xfId="0" applyFont="1" applyFill="1" applyAlignment="1">
      <alignment horizontal="center"/>
    </xf>
    <xf numFmtId="0" fontId="0" fillId="5" borderId="0" xfId="0" applyFill="1"/>
    <xf numFmtId="3" fontId="7" fillId="0" borderId="0" xfId="0" applyNumberFormat="1" applyFont="1" applyAlignment="1">
      <alignment horizontal="right"/>
    </xf>
    <xf numFmtId="0" fontId="13" fillId="0" borderId="0" xfId="0" applyFont="1"/>
    <xf numFmtId="0" fontId="5" fillId="6" borderId="0" xfId="0" applyFont="1" applyFill="1"/>
    <xf numFmtId="0" fontId="5" fillId="6" borderId="0" xfId="0" applyFont="1" applyFill="1" applyAlignment="1">
      <alignment horizontal="center"/>
    </xf>
    <xf numFmtId="3" fontId="8" fillId="0" borderId="0" xfId="0" applyNumberFormat="1" applyFont="1"/>
    <xf numFmtId="164" fontId="0" fillId="0" borderId="0" xfId="0" applyNumberFormat="1"/>
    <xf numFmtId="164" fontId="0" fillId="3" borderId="0" xfId="0" applyNumberFormat="1" applyFill="1"/>
    <xf numFmtId="164" fontId="8" fillId="0" borderId="0" xfId="0" applyNumberFormat="1" applyFont="1"/>
    <xf numFmtId="165" fontId="0" fillId="0" borderId="0" xfId="0" applyNumberFormat="1"/>
    <xf numFmtId="165" fontId="0" fillId="3" borderId="0" xfId="0" applyNumberFormat="1" applyFill="1"/>
    <xf numFmtId="166" fontId="14" fillId="3" borderId="0" xfId="0" applyNumberFormat="1" applyFont="1" applyFill="1"/>
    <xf numFmtId="166" fontId="0" fillId="0" borderId="0" xfId="0" applyNumberFormat="1"/>
    <xf numFmtId="0" fontId="15" fillId="0" borderId="0" xfId="0" applyFont="1"/>
    <xf numFmtId="167" fontId="0" fillId="3" borderId="0" xfId="0" applyNumberFormat="1" applyFill="1"/>
    <xf numFmtId="168" fontId="0" fillId="0" borderId="0" xfId="0" applyNumberFormat="1"/>
    <xf numFmtId="3" fontId="0" fillId="0" borderId="0" xfId="0" applyNumberFormat="1"/>
    <xf numFmtId="169" fontId="14" fillId="3" borderId="0" xfId="0" applyNumberFormat="1" applyFont="1" applyFill="1"/>
    <xf numFmtId="0" fontId="5" fillId="3" borderId="0" xfId="0" applyFont="1" applyFill="1" applyAlignment="1">
      <alignment horizontal="center"/>
    </xf>
    <xf numFmtId="169" fontId="0" fillId="0" borderId="0" xfId="0" applyNumberFormat="1"/>
    <xf numFmtId="169" fontId="7" fillId="0" borderId="0" xfId="0" applyNumberFormat="1" applyFont="1"/>
    <xf numFmtId="9" fontId="14" fillId="7" borderId="0" xfId="0" applyNumberFormat="1" applyFont="1" applyFill="1"/>
    <xf numFmtId="170" fontId="0" fillId="0" borderId="0" xfId="0" applyNumberFormat="1"/>
    <xf numFmtId="170" fontId="0" fillId="3" borderId="0" xfId="0" applyNumberFormat="1" applyFill="1"/>
    <xf numFmtId="3" fontId="0" fillId="3" borderId="0" xfId="0" applyNumberFormat="1" applyFill="1"/>
    <xf numFmtId="169" fontId="0" fillId="3" borderId="0" xfId="0" applyNumberFormat="1" applyFill="1"/>
    <xf numFmtId="9" fontId="0" fillId="3" borderId="0" xfId="0" applyNumberFormat="1" applyFill="1"/>
    <xf numFmtId="171" fontId="0" fillId="3" borderId="0" xfId="0" applyNumberFormat="1" applyFill="1"/>
    <xf numFmtId="9" fontId="7" fillId="0" borderId="0" xfId="0" applyNumberFormat="1" applyFont="1"/>
    <xf numFmtId="0" fontId="16" fillId="3" borderId="0" xfId="0" applyFont="1" applyFill="1"/>
    <xf numFmtId="3" fontId="7" fillId="0" borderId="0" xfId="0" applyNumberFormat="1" applyFont="1"/>
    <xf numFmtId="171" fontId="0" fillId="0" borderId="0" xfId="0" applyNumberFormat="1"/>
    <xf numFmtId="169" fontId="8" fillId="0" borderId="0" xfId="0" applyNumberFormat="1" applyFont="1"/>
    <xf numFmtId="172" fontId="0" fillId="3" borderId="0" xfId="0" applyNumberFormat="1" applyFill="1"/>
    <xf numFmtId="172" fontId="0" fillId="0" borderId="0" xfId="0" applyNumberFormat="1"/>
    <xf numFmtId="173" fontId="7" fillId="0" borderId="0" xfId="0" applyNumberFormat="1" applyFont="1"/>
    <xf numFmtId="173" fontId="0" fillId="0" borderId="0" xfId="0" applyNumberFormat="1"/>
    <xf numFmtId="0" fontId="17" fillId="0" borderId="0" xfId="1"/>
    <xf numFmtId="0" fontId="18" fillId="0" borderId="0" xfId="0" applyFont="1"/>
    <xf numFmtId="174" fontId="17" fillId="0" borderId="0" xfId="1" applyNumberFormat="1"/>
    <xf numFmtId="0" fontId="20" fillId="0" borderId="0" xfId="0" applyFont="1"/>
    <xf numFmtId="0" fontId="15" fillId="8" borderId="1" xfId="0" applyFont="1" applyFill="1" applyBorder="1"/>
    <xf numFmtId="0" fontId="0" fillId="0" borderId="1" xfId="0" applyBorder="1"/>
    <xf numFmtId="175" fontId="21" fillId="0" borderId="1" xfId="0" applyNumberFormat="1" applyFont="1" applyBorder="1"/>
    <xf numFmtId="175" fontId="0" fillId="0" borderId="1" xfId="0" applyNumberFormat="1" applyBorder="1"/>
    <xf numFmtId="0" fontId="15" fillId="9" borderId="1" xfId="0" applyFont="1" applyFill="1" applyBorder="1"/>
    <xf numFmtId="175" fontId="0" fillId="9" borderId="1" xfId="0" applyNumberFormat="1" applyFill="1" applyBorder="1"/>
    <xf numFmtId="9" fontId="21" fillId="0" borderId="1" xfId="0" applyNumberFormat="1" applyFont="1" applyBorder="1"/>
    <xf numFmtId="0" fontId="22" fillId="0" borderId="0" xfId="0" applyFont="1"/>
    <xf numFmtId="0" fontId="15" fillId="2" borderId="1" xfId="0" applyFont="1" applyFill="1" applyBorder="1"/>
    <xf numFmtId="171" fontId="0" fillId="0" borderId="1" xfId="0" applyNumberFormat="1" applyBorder="1"/>
    <xf numFmtId="0" fontId="15" fillId="0" borderId="1" xfId="0" applyFont="1" applyBorder="1"/>
    <xf numFmtId="3" fontId="0" fillId="0" borderId="1" xfId="0" applyNumberFormat="1" applyBorder="1"/>
    <xf numFmtId="3" fontId="0" fillId="2" borderId="1" xfId="0" applyNumberFormat="1" applyFill="1" applyBorder="1"/>
    <xf numFmtId="0" fontId="1" fillId="0" borderId="0" xfId="0" applyFont="1"/>
    <xf numFmtId="0" fontId="9" fillId="0" borderId="0" xfId="0" applyFont="1"/>
    <xf numFmtId="0" fontId="12" fillId="4" borderId="0" xfId="0" applyFont="1" applyFill="1"/>
    <xf numFmtId="0" fontId="14" fillId="0" borderId="0" xfId="0" applyFont="1"/>
    <xf numFmtId="0" fontId="19" fillId="0" borderId="0" xfId="0" applyFont="1"/>
    <xf numFmtId="0" fontId="23" fillId="0" borderId="0" xfId="0" applyFont="1"/>
    <xf numFmtId="3" fontId="23" fillId="0" borderId="0" xfId="0" applyNumberFormat="1" applyFont="1"/>
    <xf numFmtId="3" fontId="17" fillId="0" borderId="0" xfId="1" applyNumberFormat="1"/>
    <xf numFmtId="0" fontId="2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ec.gov/Archives/edgar/data/766421/000076642125000060/alk-20250930.htm" TargetMode="External"/><Relationship Id="rId21" Type="http://schemas.openxmlformats.org/officeDocument/2006/relationships/hyperlink" Target="https://www.sec.gov/Archives/edgar/data/766421/000076642124000045/alk-20240630.htm" TargetMode="External"/><Relationship Id="rId42" Type="http://schemas.openxmlformats.org/officeDocument/2006/relationships/hyperlink" Target="https://www.sec.gov/Archives/edgar/data/766421/000076642123000023/alk-20230331.htm" TargetMode="External"/><Relationship Id="rId47" Type="http://schemas.openxmlformats.org/officeDocument/2006/relationships/hyperlink" Target="https://www.sec.gov/Archives/edgar/data/766421/000076642124000045/alk-20240630.htm" TargetMode="External"/><Relationship Id="rId63" Type="http://schemas.openxmlformats.org/officeDocument/2006/relationships/hyperlink" Target="https://www.sec.gov/Archives/edgar/data/766421/000076642125000017/alk-20250331.htm" TargetMode="External"/><Relationship Id="rId68" Type="http://schemas.openxmlformats.org/officeDocument/2006/relationships/hyperlink" Target="https://www.sec.gov/Archives/edgar/data/766421/000076642123000023/alk-20230331.htm" TargetMode="External"/><Relationship Id="rId16" Type="http://schemas.openxmlformats.org/officeDocument/2006/relationships/hyperlink" Target="https://www.sec.gov/Archives/edgar/data/766421/000076642123000023/alk-20230331.htm" TargetMode="External"/><Relationship Id="rId11" Type="http://schemas.openxmlformats.org/officeDocument/2006/relationships/hyperlink" Target="https://www.sec.gov/Archives/edgar/data/766421/000076642125000017/alk-20250331.htm" TargetMode="External"/><Relationship Id="rId24" Type="http://schemas.openxmlformats.org/officeDocument/2006/relationships/hyperlink" Target="https://www.sec.gov/Archives/edgar/data/766421/000076642125000017/alk-20250331.htm" TargetMode="External"/><Relationship Id="rId32" Type="http://schemas.openxmlformats.org/officeDocument/2006/relationships/hyperlink" Target="https://www.sec.gov/Archives/edgar/data/766421/000076642124000045/alk-20240630.htm" TargetMode="External"/><Relationship Id="rId37" Type="http://schemas.openxmlformats.org/officeDocument/2006/relationships/hyperlink" Target="https://www.sec.gov/Archives/edgar/data/766421/000076642123000023/alk-20230331.htm" TargetMode="External"/><Relationship Id="rId40" Type="http://schemas.openxmlformats.org/officeDocument/2006/relationships/hyperlink" Target="https://www.sec.gov/Archives/edgar/data/766421/000076642122000071/alk-20220930.htm" TargetMode="External"/><Relationship Id="rId45" Type="http://schemas.openxmlformats.org/officeDocument/2006/relationships/hyperlink" Target="https://www.sec.gov/Archives/edgar/data/766421/000076642124000012/alk-20231231.htm" TargetMode="External"/><Relationship Id="rId53" Type="http://schemas.openxmlformats.org/officeDocument/2006/relationships/hyperlink" Target="https://www.sec.gov/Archives/edgar/data/766421/000076642122000071/alk-20220930.htm" TargetMode="External"/><Relationship Id="rId58" Type="http://schemas.openxmlformats.org/officeDocument/2006/relationships/hyperlink" Target="https://www.sec.gov/Archives/edgar/data/766421/000076642124000012/alk-20231231.htm" TargetMode="External"/><Relationship Id="rId66" Type="http://schemas.openxmlformats.org/officeDocument/2006/relationships/hyperlink" Target="https://www.sec.gov/Archives/edgar/data/766421/000076642122000071/alk-20220930.htm" TargetMode="External"/><Relationship Id="rId74" Type="http://schemas.openxmlformats.org/officeDocument/2006/relationships/hyperlink" Target="https://www.sec.gov/Archives/edgar/data/766421/000076642124000082/alk-20240930.htm" TargetMode="External"/><Relationship Id="rId5" Type="http://schemas.openxmlformats.org/officeDocument/2006/relationships/hyperlink" Target="https://www.sec.gov/Archives/edgar/data/766421/000076642123000046/alk-20230930.htm" TargetMode="External"/><Relationship Id="rId61" Type="http://schemas.openxmlformats.org/officeDocument/2006/relationships/hyperlink" Target="https://www.sec.gov/Archives/edgar/data/766421/000076642124000082/alk-20240930.htm" TargetMode="External"/><Relationship Id="rId19" Type="http://schemas.openxmlformats.org/officeDocument/2006/relationships/hyperlink" Target="https://www.sec.gov/Archives/edgar/data/766421/000076642124000012/alk-20231231.htm" TargetMode="External"/><Relationship Id="rId14" Type="http://schemas.openxmlformats.org/officeDocument/2006/relationships/hyperlink" Target="https://www.sec.gov/Archives/edgar/data/766421/000076642122000071/alk-20220930.htm" TargetMode="External"/><Relationship Id="rId22" Type="http://schemas.openxmlformats.org/officeDocument/2006/relationships/hyperlink" Target="https://www.sec.gov/Archives/edgar/data/766421/000076642124000082/alk-20240930.htm" TargetMode="External"/><Relationship Id="rId27" Type="http://schemas.openxmlformats.org/officeDocument/2006/relationships/hyperlink" Target="https://www.sec.gov/Archives/edgar/data/766421/000076642125000060/alk-20250930.htm" TargetMode="External"/><Relationship Id="rId30" Type="http://schemas.openxmlformats.org/officeDocument/2006/relationships/hyperlink" Target="https://www.sec.gov/Archives/edgar/data/766421/000076642125000009/alk-20241231.htm" TargetMode="External"/><Relationship Id="rId35" Type="http://schemas.openxmlformats.org/officeDocument/2006/relationships/hyperlink" Target="https://www.sec.gov/Archives/edgar/data/766421/000076642123000046/alk-20230930.htm" TargetMode="External"/><Relationship Id="rId43" Type="http://schemas.openxmlformats.org/officeDocument/2006/relationships/hyperlink" Target="https://www.sec.gov/Archives/edgar/data/766421/000076642123000034/alk-20230630.htm" TargetMode="External"/><Relationship Id="rId48" Type="http://schemas.openxmlformats.org/officeDocument/2006/relationships/hyperlink" Target="https://www.sec.gov/Archives/edgar/data/766421/000076642124000082/alk-20240930.htm" TargetMode="External"/><Relationship Id="rId56" Type="http://schemas.openxmlformats.org/officeDocument/2006/relationships/hyperlink" Target="https://www.sec.gov/Archives/edgar/data/766421/000076642123000034/alk-20230630.htm" TargetMode="External"/><Relationship Id="rId64" Type="http://schemas.openxmlformats.org/officeDocument/2006/relationships/hyperlink" Target="https://www.sec.gov/Archives/edgar/data/766421/000076642125000036/alk-20250630.htm" TargetMode="External"/><Relationship Id="rId69" Type="http://schemas.openxmlformats.org/officeDocument/2006/relationships/hyperlink" Target="https://www.sec.gov/Archives/edgar/data/766421/000076642123000034/alk-20230630.htm" TargetMode="External"/><Relationship Id="rId77" Type="http://schemas.openxmlformats.org/officeDocument/2006/relationships/hyperlink" Target="https://www.sec.gov/Archives/edgar/data/766421/000076642125000036/alk-20250630.htm" TargetMode="External"/><Relationship Id="rId8" Type="http://schemas.openxmlformats.org/officeDocument/2006/relationships/hyperlink" Target="https://www.sec.gov/Archives/edgar/data/766421/000076642124000045/alk-20240630.htm" TargetMode="External"/><Relationship Id="rId51" Type="http://schemas.openxmlformats.org/officeDocument/2006/relationships/hyperlink" Target="https://www.sec.gov/Archives/edgar/data/766421/000076642125000036/alk-20250630.htm" TargetMode="External"/><Relationship Id="rId72" Type="http://schemas.openxmlformats.org/officeDocument/2006/relationships/hyperlink" Target="https://www.sec.gov/Archives/edgar/data/766421/000076642124000031/alk-20240331.htm" TargetMode="External"/><Relationship Id="rId3" Type="http://schemas.openxmlformats.org/officeDocument/2006/relationships/hyperlink" Target="https://www.sec.gov/Archives/edgar/data/766421/000076642123000023/alk-20230331.htm" TargetMode="External"/><Relationship Id="rId12" Type="http://schemas.openxmlformats.org/officeDocument/2006/relationships/hyperlink" Target="https://www.sec.gov/Archives/edgar/data/766421/000076642125000036/alk-20250630.htm" TargetMode="External"/><Relationship Id="rId17" Type="http://schemas.openxmlformats.org/officeDocument/2006/relationships/hyperlink" Target="https://www.sec.gov/Archives/edgar/data/766421/000076642123000034/alk-20230630.htm" TargetMode="External"/><Relationship Id="rId25" Type="http://schemas.openxmlformats.org/officeDocument/2006/relationships/hyperlink" Target="https://www.sec.gov/Archives/edgar/data/766421/000076642125000036/alk-20250630.htm" TargetMode="External"/><Relationship Id="rId33" Type="http://schemas.openxmlformats.org/officeDocument/2006/relationships/hyperlink" Target="https://www.sec.gov/Archives/edgar/data/766421/000076642124000031/alk-20240331.htm" TargetMode="External"/><Relationship Id="rId38" Type="http://schemas.openxmlformats.org/officeDocument/2006/relationships/hyperlink" Target="https://www.sec.gov/Archives/edgar/data/766421/000076642123000009/alk-20221231.htm" TargetMode="External"/><Relationship Id="rId46" Type="http://schemas.openxmlformats.org/officeDocument/2006/relationships/hyperlink" Target="https://www.sec.gov/Archives/edgar/data/766421/000076642124000031/alk-20240331.htm" TargetMode="External"/><Relationship Id="rId59" Type="http://schemas.openxmlformats.org/officeDocument/2006/relationships/hyperlink" Target="https://www.sec.gov/Archives/edgar/data/766421/000076642124000031/alk-20240331.htm" TargetMode="External"/><Relationship Id="rId67" Type="http://schemas.openxmlformats.org/officeDocument/2006/relationships/hyperlink" Target="https://www.sec.gov/Archives/edgar/data/766421/000076642123000009/alk-20221231.htm" TargetMode="External"/><Relationship Id="rId20" Type="http://schemas.openxmlformats.org/officeDocument/2006/relationships/hyperlink" Target="https://www.sec.gov/Archives/edgar/data/766421/000076642124000031/alk-20240331.htm" TargetMode="External"/><Relationship Id="rId41" Type="http://schemas.openxmlformats.org/officeDocument/2006/relationships/hyperlink" Target="https://www.sec.gov/Archives/edgar/data/766421/000076642123000009/alk-20221231.htm" TargetMode="External"/><Relationship Id="rId54" Type="http://schemas.openxmlformats.org/officeDocument/2006/relationships/hyperlink" Target="https://www.sec.gov/Archives/edgar/data/766421/000076642123000009/alk-20221231.htm" TargetMode="External"/><Relationship Id="rId62" Type="http://schemas.openxmlformats.org/officeDocument/2006/relationships/hyperlink" Target="https://www.sec.gov/Archives/edgar/data/766421/000076642125000009/alk-20241231.htm" TargetMode="External"/><Relationship Id="rId70" Type="http://schemas.openxmlformats.org/officeDocument/2006/relationships/hyperlink" Target="https://www.sec.gov/Archives/edgar/data/766421/000076642123000046/alk-20230930.htm" TargetMode="External"/><Relationship Id="rId75" Type="http://schemas.openxmlformats.org/officeDocument/2006/relationships/hyperlink" Target="https://www.sec.gov/Archives/edgar/data/766421/000076642125000009/alk-20241231.htm" TargetMode="External"/><Relationship Id="rId1" Type="http://schemas.openxmlformats.org/officeDocument/2006/relationships/hyperlink" Target="https://www.sec.gov/Archives/edgar/data/766421/000076642122000071/alk-20220930.htm" TargetMode="External"/><Relationship Id="rId6" Type="http://schemas.openxmlformats.org/officeDocument/2006/relationships/hyperlink" Target="https://www.sec.gov/Archives/edgar/data/766421/000076642124000012/alk-20231231.htm" TargetMode="External"/><Relationship Id="rId15" Type="http://schemas.openxmlformats.org/officeDocument/2006/relationships/hyperlink" Target="https://www.sec.gov/Archives/edgar/data/766421/000076642123000009/alk-20221231.htm" TargetMode="External"/><Relationship Id="rId23" Type="http://schemas.openxmlformats.org/officeDocument/2006/relationships/hyperlink" Target="https://www.sec.gov/Archives/edgar/data/766421/000076642124000082/alk-20240930.htm" TargetMode="External"/><Relationship Id="rId28" Type="http://schemas.openxmlformats.org/officeDocument/2006/relationships/hyperlink" Target="https://www.sec.gov/Archives/edgar/data/766421/000076642125000036/alk-20250630.htm" TargetMode="External"/><Relationship Id="rId36" Type="http://schemas.openxmlformats.org/officeDocument/2006/relationships/hyperlink" Target="https://www.sec.gov/Archives/edgar/data/766421/000076642123000034/alk-20230630.htm" TargetMode="External"/><Relationship Id="rId49" Type="http://schemas.openxmlformats.org/officeDocument/2006/relationships/hyperlink" Target="https://www.sec.gov/Archives/edgar/data/766421/000076642125000009/alk-20241231.htm" TargetMode="External"/><Relationship Id="rId57" Type="http://schemas.openxmlformats.org/officeDocument/2006/relationships/hyperlink" Target="https://www.sec.gov/Archives/edgar/data/766421/000076642123000046/alk-20230930.htm" TargetMode="External"/><Relationship Id="rId10" Type="http://schemas.openxmlformats.org/officeDocument/2006/relationships/hyperlink" Target="https://www.sec.gov/Archives/edgar/data/766421/000076642125000009/alk-20241231.htm" TargetMode="External"/><Relationship Id="rId31" Type="http://schemas.openxmlformats.org/officeDocument/2006/relationships/hyperlink" Target="https://www.sec.gov/Archives/edgar/data/766421/000076642124000082/alk-20240930.htm" TargetMode="External"/><Relationship Id="rId44" Type="http://schemas.openxmlformats.org/officeDocument/2006/relationships/hyperlink" Target="https://www.sec.gov/Archives/edgar/data/766421/000076642123000046/alk-20230930.htm" TargetMode="External"/><Relationship Id="rId52" Type="http://schemas.openxmlformats.org/officeDocument/2006/relationships/hyperlink" Target="https://www.sec.gov/Archives/edgar/data/766421/000076642125000060/alk-20250930.htm" TargetMode="External"/><Relationship Id="rId60" Type="http://schemas.openxmlformats.org/officeDocument/2006/relationships/hyperlink" Target="https://www.sec.gov/Archives/edgar/data/766421/000076642124000045/alk-20240630.htm" TargetMode="External"/><Relationship Id="rId65" Type="http://schemas.openxmlformats.org/officeDocument/2006/relationships/hyperlink" Target="https://www.sec.gov/Archives/edgar/data/766421/000076642125000060/alk-20250930.htm" TargetMode="External"/><Relationship Id="rId73" Type="http://schemas.openxmlformats.org/officeDocument/2006/relationships/hyperlink" Target="https://www.sec.gov/Archives/edgar/data/766421/000076642124000045/alk-20240630.htm" TargetMode="External"/><Relationship Id="rId78" Type="http://schemas.openxmlformats.org/officeDocument/2006/relationships/hyperlink" Target="https://www.sec.gov/Archives/edgar/data/766421/000076642125000060/alk-20250930.htm" TargetMode="External"/><Relationship Id="rId4" Type="http://schemas.openxmlformats.org/officeDocument/2006/relationships/hyperlink" Target="https://www.sec.gov/Archives/edgar/data/766421/000076642123000034/alk-20230630.htm" TargetMode="External"/><Relationship Id="rId9" Type="http://schemas.openxmlformats.org/officeDocument/2006/relationships/hyperlink" Target="https://www.sec.gov/Archives/edgar/data/766421/000076642124000082/alk-20240930.htm" TargetMode="External"/><Relationship Id="rId13" Type="http://schemas.openxmlformats.org/officeDocument/2006/relationships/hyperlink" Target="https://www.sec.gov/Archives/edgar/data/766421/000076642125000060/alk-20250930.htm" TargetMode="External"/><Relationship Id="rId18" Type="http://schemas.openxmlformats.org/officeDocument/2006/relationships/hyperlink" Target="https://www.sec.gov/Archives/edgar/data/766421/000076642123000046/alk-20230930.htm" TargetMode="External"/><Relationship Id="rId39" Type="http://schemas.openxmlformats.org/officeDocument/2006/relationships/hyperlink" Target="https://www.sec.gov/Archives/edgar/data/766421/000076642122000071/alk-20220930.htm" TargetMode="External"/><Relationship Id="rId34" Type="http://schemas.openxmlformats.org/officeDocument/2006/relationships/hyperlink" Target="https://www.sec.gov/Archives/edgar/data/766421/000076642124000012/alk-20231231.htm" TargetMode="External"/><Relationship Id="rId50" Type="http://schemas.openxmlformats.org/officeDocument/2006/relationships/hyperlink" Target="https://www.sec.gov/Archives/edgar/data/766421/000076642125000017/alk-20250331.htm" TargetMode="External"/><Relationship Id="rId55" Type="http://schemas.openxmlformats.org/officeDocument/2006/relationships/hyperlink" Target="https://www.sec.gov/Archives/edgar/data/766421/000076642123000023/alk-20230331.htm" TargetMode="External"/><Relationship Id="rId76" Type="http://schemas.openxmlformats.org/officeDocument/2006/relationships/hyperlink" Target="https://www.sec.gov/Archives/edgar/data/766421/000076642125000017/alk-20250331.htm" TargetMode="External"/><Relationship Id="rId7" Type="http://schemas.openxmlformats.org/officeDocument/2006/relationships/hyperlink" Target="https://www.sec.gov/Archives/edgar/data/766421/000076642124000031/alk-20240331.htm" TargetMode="External"/><Relationship Id="rId71" Type="http://schemas.openxmlformats.org/officeDocument/2006/relationships/hyperlink" Target="https://www.sec.gov/Archives/edgar/data/766421/000076642124000012/alk-20231231.htm" TargetMode="External"/><Relationship Id="rId2" Type="http://schemas.openxmlformats.org/officeDocument/2006/relationships/hyperlink" Target="https://www.sec.gov/Archives/edgar/data/766421/000076642123000009/alk-20221231.htm" TargetMode="External"/><Relationship Id="rId29" Type="http://schemas.openxmlformats.org/officeDocument/2006/relationships/hyperlink" Target="https://www.sec.gov/Archives/edgar/data/766421/000076642125000017/alk-20250331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F30"/>
  <sheetViews>
    <sheetView tabSelected="1" zoomScaleNormal="100" workbookViewId="0">
      <selection activeCell="A23" sqref="A23"/>
    </sheetView>
  </sheetViews>
  <sheetFormatPr baseColWidth="10" defaultColWidth="8.6640625" defaultRowHeight="15" x14ac:dyDescent="0.2"/>
  <cols>
    <col min="1" max="1" width="15" customWidth="1"/>
    <col min="2" max="2" width="35" customWidth="1"/>
    <col min="3" max="3" width="45" customWidth="1"/>
  </cols>
  <sheetData>
    <row r="3" spans="1:6" ht="24" x14ac:dyDescent="0.3">
      <c r="A3" s="67" t="s">
        <v>0</v>
      </c>
      <c r="B3" s="67"/>
      <c r="C3" s="67"/>
      <c r="D3" s="67"/>
      <c r="E3" s="67"/>
      <c r="F3" s="67"/>
    </row>
    <row r="5" spans="1:6" ht="19" x14ac:dyDescent="0.25">
      <c r="A5" s="1" t="s">
        <v>1</v>
      </c>
    </row>
    <row r="7" spans="1:6" x14ac:dyDescent="0.2">
      <c r="A7" t="s">
        <v>2</v>
      </c>
    </row>
    <row r="8" spans="1:6" ht="16" x14ac:dyDescent="0.2">
      <c r="A8" s="2" t="s">
        <v>3</v>
      </c>
    </row>
    <row r="9" spans="1:6" ht="16" x14ac:dyDescent="0.2">
      <c r="A9" s="2" t="s">
        <v>4</v>
      </c>
    </row>
    <row r="12" spans="1:6" x14ac:dyDescent="0.2">
      <c r="A12" s="3" t="s">
        <v>5</v>
      </c>
    </row>
    <row r="15" spans="1:6" x14ac:dyDescent="0.2">
      <c r="A15" s="4" t="s">
        <v>6</v>
      </c>
    </row>
    <row r="17" spans="1:3" x14ac:dyDescent="0.2">
      <c r="A17" s="4" t="s">
        <v>7</v>
      </c>
      <c r="B17" t="s">
        <v>8</v>
      </c>
      <c r="C17" s="5" t="s">
        <v>9</v>
      </c>
    </row>
    <row r="18" spans="1:3" x14ac:dyDescent="0.2">
      <c r="A18" s="4" t="s">
        <v>10</v>
      </c>
      <c r="B18" t="s">
        <v>11</v>
      </c>
      <c r="C18" s="5" t="s">
        <v>12</v>
      </c>
    </row>
    <row r="19" spans="1:3" x14ac:dyDescent="0.2">
      <c r="A19" s="4" t="s">
        <v>13</v>
      </c>
      <c r="B19" t="s">
        <v>14</v>
      </c>
      <c r="C19" s="5" t="s">
        <v>15</v>
      </c>
    </row>
    <row r="20" spans="1:3" x14ac:dyDescent="0.2">
      <c r="A20" s="4" t="s">
        <v>16</v>
      </c>
      <c r="B20" t="s">
        <v>17</v>
      </c>
      <c r="C20" s="5" t="s">
        <v>18</v>
      </c>
    </row>
    <row r="21" spans="1:3" x14ac:dyDescent="0.2">
      <c r="A21" s="4" t="s">
        <v>19</v>
      </c>
      <c r="B21" t="s">
        <v>20</v>
      </c>
      <c r="C21" s="5" t="s">
        <v>21</v>
      </c>
    </row>
    <row r="22" spans="1:3" x14ac:dyDescent="0.2">
      <c r="A22" s="4" t="s">
        <v>22</v>
      </c>
      <c r="B22" t="s">
        <v>23</v>
      </c>
      <c r="C22" s="5" t="s">
        <v>24</v>
      </c>
    </row>
    <row r="23" spans="1:3" x14ac:dyDescent="0.2">
      <c r="A23" s="4" t="s">
        <v>292</v>
      </c>
      <c r="B23" t="s">
        <v>290</v>
      </c>
      <c r="C23" s="5" t="s">
        <v>291</v>
      </c>
    </row>
    <row r="25" spans="1:3" x14ac:dyDescent="0.2">
      <c r="A25" s="4" t="s">
        <v>25</v>
      </c>
    </row>
    <row r="26" spans="1:3" x14ac:dyDescent="0.2">
      <c r="A26" s="6" t="s">
        <v>26</v>
      </c>
      <c r="B26" t="s">
        <v>27</v>
      </c>
    </row>
    <row r="27" spans="1:3" x14ac:dyDescent="0.2">
      <c r="A27" s="7" t="s">
        <v>28</v>
      </c>
      <c r="B27" t="s">
        <v>29</v>
      </c>
    </row>
    <row r="28" spans="1:3" x14ac:dyDescent="0.2">
      <c r="A28" t="s">
        <v>30</v>
      </c>
      <c r="B28" t="s">
        <v>31</v>
      </c>
    </row>
    <row r="29" spans="1:3" x14ac:dyDescent="0.2">
      <c r="A29" s="8" t="s">
        <v>32</v>
      </c>
      <c r="B29" t="s">
        <v>33</v>
      </c>
    </row>
    <row r="30" spans="1:3" x14ac:dyDescent="0.2">
      <c r="A30" s="9" t="s">
        <v>34</v>
      </c>
      <c r="B30" t="s">
        <v>35</v>
      </c>
    </row>
  </sheetData>
  <mergeCells count="1">
    <mergeCell ref="A3:F3"/>
  </mergeCells>
  <printOptions horizontalCentered="1"/>
  <pageMargins left="0.5" right="0.5" top="0.75" bottom="0.75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20"/>
  <sheetViews>
    <sheetView zoomScale="179" zoomScaleNormal="179" workbookViewId="0">
      <selection activeCell="D19" sqref="D19"/>
    </sheetView>
  </sheetViews>
  <sheetFormatPr baseColWidth="10" defaultColWidth="8.6640625" defaultRowHeight="15" x14ac:dyDescent="0.2"/>
  <cols>
    <col min="1" max="1" width="42" customWidth="1"/>
    <col min="2" max="14" width="10" customWidth="1"/>
  </cols>
  <sheetData>
    <row r="1" spans="1:16" ht="19" x14ac:dyDescent="0.25">
      <c r="A1" s="68" t="s">
        <v>36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</row>
    <row r="2" spans="1:16" x14ac:dyDescent="0.2">
      <c r="A2" s="10" t="s">
        <v>37</v>
      </c>
    </row>
    <row r="4" spans="1:16" x14ac:dyDescent="0.2">
      <c r="A4" s="11" t="s">
        <v>38</v>
      </c>
      <c r="B4" s="12" t="s">
        <v>39</v>
      </c>
      <c r="C4" s="12" t="s">
        <v>40</v>
      </c>
      <c r="D4" s="12" t="s">
        <v>41</v>
      </c>
      <c r="E4" s="12" t="s">
        <v>42</v>
      </c>
      <c r="F4" s="12" t="s">
        <v>43</v>
      </c>
      <c r="G4" s="12" t="s">
        <v>44</v>
      </c>
      <c r="H4" s="12" t="s">
        <v>45</v>
      </c>
      <c r="I4" s="12" t="s">
        <v>46</v>
      </c>
      <c r="J4" s="12" t="s">
        <v>47</v>
      </c>
      <c r="K4" s="12" t="s">
        <v>48</v>
      </c>
      <c r="L4" s="12" t="s">
        <v>49</v>
      </c>
      <c r="M4" s="12" t="s">
        <v>50</v>
      </c>
      <c r="N4" s="12" t="s">
        <v>51</v>
      </c>
    </row>
    <row r="5" spans="1:16" x14ac:dyDescent="0.2">
      <c r="A5" s="69" t="s">
        <v>52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</row>
    <row r="6" spans="1:16" x14ac:dyDescent="0.2">
      <c r="A6" s="13" t="s">
        <v>53</v>
      </c>
      <c r="B6" s="50">
        <v>422</v>
      </c>
      <c r="C6" s="50">
        <v>380</v>
      </c>
      <c r="D6" s="50">
        <v>374</v>
      </c>
      <c r="E6" s="50">
        <v>268</v>
      </c>
      <c r="F6" s="50">
        <v>290</v>
      </c>
      <c r="G6" s="50">
        <v>292</v>
      </c>
      <c r="H6" s="50">
        <v>283</v>
      </c>
      <c r="I6" s="50">
        <v>270</v>
      </c>
      <c r="J6" s="50">
        <v>363</v>
      </c>
      <c r="K6" s="50">
        <v>334</v>
      </c>
      <c r="L6" s="50">
        <v>334</v>
      </c>
      <c r="M6" s="50">
        <v>316</v>
      </c>
      <c r="N6" s="50">
        <v>436</v>
      </c>
    </row>
    <row r="7" spans="1:16" ht="16" x14ac:dyDescent="0.2">
      <c r="A7" s="13" t="s">
        <v>54</v>
      </c>
      <c r="B7" s="50">
        <v>80</v>
      </c>
      <c r="C7" s="50">
        <v>83</v>
      </c>
      <c r="D7" s="50">
        <v>94</v>
      </c>
      <c r="E7" s="50">
        <v>96</v>
      </c>
      <c r="F7" s="50">
        <v>91</v>
      </c>
      <c r="G7" s="50">
        <v>102</v>
      </c>
      <c r="H7" s="50">
        <v>104</v>
      </c>
      <c r="I7" s="50">
        <v>87</v>
      </c>
      <c r="J7" s="50">
        <v>105</v>
      </c>
      <c r="K7" s="52">
        <v>176</v>
      </c>
      <c r="L7" s="50">
        <v>111</v>
      </c>
      <c r="M7" s="50">
        <v>306</v>
      </c>
      <c r="N7" s="50">
        <v>177</v>
      </c>
      <c r="O7" s="51"/>
    </row>
    <row r="9" spans="1:16" x14ac:dyDescent="0.2">
      <c r="A9" s="69" t="s">
        <v>55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</row>
    <row r="10" spans="1:16" x14ac:dyDescent="0.2">
      <c r="A10" s="13" t="s">
        <v>56</v>
      </c>
      <c r="B10" s="50">
        <v>282</v>
      </c>
      <c r="C10" s="74">
        <v>282</v>
      </c>
      <c r="D10" s="50">
        <v>285</v>
      </c>
      <c r="E10" s="50">
        <v>317</v>
      </c>
      <c r="F10" s="50">
        <v>298</v>
      </c>
      <c r="G10" s="74">
        <v>297</v>
      </c>
      <c r="H10" s="50">
        <v>292</v>
      </c>
      <c r="I10" s="50">
        <v>321</v>
      </c>
      <c r="J10" s="50">
        <v>334</v>
      </c>
      <c r="K10" s="74">
        <v>453</v>
      </c>
      <c r="L10" s="50">
        <v>414</v>
      </c>
      <c r="M10" s="50">
        <v>576</v>
      </c>
      <c r="N10" s="74">
        <v>374</v>
      </c>
    </row>
    <row r="11" spans="1:16" x14ac:dyDescent="0.2">
      <c r="A11" s="13" t="s">
        <v>57</v>
      </c>
      <c r="B11" s="50">
        <v>223</v>
      </c>
      <c r="C11" s="50">
        <v>246</v>
      </c>
      <c r="D11" s="50">
        <v>218</v>
      </c>
      <c r="E11" s="50">
        <v>252</v>
      </c>
      <c r="F11" s="50">
        <v>242</v>
      </c>
      <c r="G11" s="50">
        <v>262</v>
      </c>
      <c r="H11" s="50">
        <v>234</v>
      </c>
      <c r="I11" s="50">
        <v>274</v>
      </c>
      <c r="J11" s="50">
        <v>274</v>
      </c>
      <c r="K11" s="74">
        <v>342</v>
      </c>
      <c r="L11" s="50">
        <v>307</v>
      </c>
      <c r="M11" s="50">
        <v>348</v>
      </c>
      <c r="N11" s="50">
        <v>338</v>
      </c>
    </row>
    <row r="12" spans="1:16" x14ac:dyDescent="0.2">
      <c r="A12" s="13" t="s">
        <v>58</v>
      </c>
      <c r="B12" s="50">
        <v>19</v>
      </c>
      <c r="C12" s="50">
        <v>20</v>
      </c>
      <c r="D12" s="50">
        <v>21</v>
      </c>
      <c r="E12" s="50">
        <v>31</v>
      </c>
      <c r="F12" s="50">
        <v>34</v>
      </c>
      <c r="G12" s="50">
        <v>31</v>
      </c>
      <c r="H12" s="50">
        <v>28</v>
      </c>
      <c r="I12" s="50">
        <v>39</v>
      </c>
      <c r="J12" s="50">
        <v>46</v>
      </c>
      <c r="K12" s="50">
        <v>47</v>
      </c>
      <c r="L12" s="50">
        <v>49</v>
      </c>
      <c r="M12" s="50">
        <v>70</v>
      </c>
      <c r="N12" s="50">
        <v>75</v>
      </c>
    </row>
    <row r="13" spans="1:16" x14ac:dyDescent="0.2">
      <c r="A13" s="13" t="s">
        <v>59</v>
      </c>
      <c r="B13" s="50">
        <v>146</v>
      </c>
      <c r="C13" s="50">
        <v>157</v>
      </c>
      <c r="D13" s="50">
        <v>154</v>
      </c>
      <c r="E13" s="50">
        <v>170</v>
      </c>
      <c r="F13" s="50">
        <v>159</v>
      </c>
      <c r="G13" s="50">
        <v>165</v>
      </c>
      <c r="H13" s="50">
        <v>164</v>
      </c>
      <c r="I13" s="50">
        <v>174</v>
      </c>
      <c r="J13" s="50">
        <v>171</v>
      </c>
      <c r="K13" s="50">
        <v>224</v>
      </c>
      <c r="L13" s="50">
        <v>207</v>
      </c>
      <c r="M13" s="50">
        <v>210</v>
      </c>
      <c r="N13" s="50">
        <v>200</v>
      </c>
    </row>
    <row r="15" spans="1:16" x14ac:dyDescent="0.2">
      <c r="A15" s="10" t="s">
        <v>293</v>
      </c>
    </row>
    <row r="16" spans="1:16" x14ac:dyDescent="0.2">
      <c r="A16" s="10" t="s">
        <v>60</v>
      </c>
    </row>
    <row r="17" spans="1:14" x14ac:dyDescent="0.2">
      <c r="A17" s="75" t="s">
        <v>294</v>
      </c>
    </row>
    <row r="18" spans="1:14" x14ac:dyDescent="0.2">
      <c r="B18" s="50"/>
      <c r="C18" s="50"/>
      <c r="D18" s="50"/>
      <c r="E18" s="50"/>
      <c r="F18" s="50"/>
      <c r="G18" s="50"/>
      <c r="H18" s="50"/>
      <c r="I18" s="50"/>
      <c r="J18" s="50"/>
      <c r="K18" s="74"/>
      <c r="L18" s="50"/>
      <c r="M18" s="50"/>
      <c r="N18" s="50"/>
    </row>
    <row r="19" spans="1:14" x14ac:dyDescent="0.2"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</row>
    <row r="20" spans="1:14" x14ac:dyDescent="0.2">
      <c r="B20" s="50"/>
      <c r="C20" s="74"/>
      <c r="D20" s="50"/>
      <c r="E20" s="50"/>
      <c r="F20" s="50"/>
      <c r="G20" s="74"/>
      <c r="H20" s="50"/>
      <c r="I20" s="50"/>
      <c r="J20" s="50"/>
      <c r="K20" s="74"/>
      <c r="L20" s="50"/>
      <c r="M20" s="50"/>
      <c r="N20" s="74"/>
    </row>
  </sheetData>
  <mergeCells count="3">
    <mergeCell ref="A1:P1"/>
    <mergeCell ref="A5:N5"/>
    <mergeCell ref="A9:N9"/>
  </mergeCells>
  <hyperlinks>
    <hyperlink ref="B6" r:id="rId1" location=":~:text=Other%20noncurrent%20assets-,422,-396%C2%A0" display="https://www.sec.gov/Archives/edgar/data/766421/000076642122000071/alk-20220930.htm - :~:text=Other%20noncurrent%20assets-,422,-396%C2%A0" xr:uid="{95DF0436-AD92-8F41-BE22-B164B17F15CD}"/>
    <hyperlink ref="C6" r:id="rId2" location=":~:text=Other%20noncurrent%20assets-,380,-396" display="https://www.sec.gov/Archives/edgar/data/766421/000076642123000009/alk-20221231.htm - :~:text=Other%20noncurrent%20assets-,380,-396" xr:uid="{EC462815-D6B1-C849-934F-02F3FBA687D6}"/>
    <hyperlink ref="D6" r:id="rId3" location=":~:text=Other%20noncurrent%20assets-,374,-380%C2%A0" display="https://www.sec.gov/Archives/edgar/data/766421/000076642123000023/alk-20230331.htm - :~:text=Other%20noncurrent%20assets-,374,-380%C2%A0" xr:uid="{C6FD9CBE-F686-974C-9A6A-F8690D6F6267}"/>
    <hyperlink ref="E6" r:id="rId4" location=":~:text=Other%20noncurrent%20assets-,268,-380%C2%A0" display="https://www.sec.gov/Archives/edgar/data/766421/000076642123000034/alk-20230630.htm - :~:text=Other%20noncurrent%20assets-,268,-380%C2%A0" xr:uid="{83D20AFD-B9DC-5540-BBBF-B4D3D74CE75F}"/>
    <hyperlink ref="F6" r:id="rId5" location=":~:text=Other%20noncurrent%20assets-,290,-380%C2%A0" display="https://www.sec.gov/Archives/edgar/data/766421/000076642123000046/alk-20230930.htm - :~:text=Other%20noncurrent%20assets-,290,-380%C2%A0" xr:uid="{AAF8349F-94D2-DB4B-B53B-06960D184903}"/>
    <hyperlink ref="G6" r:id="rId6" location=":~:text=Other%20noncurrent%20assets-,292,-380" display="https://www.sec.gov/Archives/edgar/data/766421/000076642124000012/alk-20231231.htm - :~:text=Other%20noncurrent%20assets-,292,-380" xr:uid="{329C7BA6-4C98-C64D-BD02-ADC4870DB26F}"/>
    <hyperlink ref="H6" r:id="rId7" location=":~:text=Other%20noncurrent%20assets-,283,-292%C2%A0" display="https://www.sec.gov/Archives/edgar/data/766421/000076642124000031/alk-20240331.htm - :~:text=Other%20noncurrent%20assets-,283,-292%C2%A0" xr:uid="{918ADEDA-089B-DF4E-992F-53ED1A6A60E4}"/>
    <hyperlink ref="I6" r:id="rId8" location=":~:text=Other%20noncurrent%20assets-,270,-292%C2%A0" display="https://www.sec.gov/Archives/edgar/data/766421/000076642124000045/alk-20240630.htm - :~:text=Other%20noncurrent%20assets-,270,-292%C2%A0" xr:uid="{56A3CAFB-6427-FC4E-BBBF-17CCA8357FDA}"/>
    <hyperlink ref="J6" r:id="rId9" location=":~:text=Other%20noncurrent%20assets-,363,-292%C2%A0" display="https://www.sec.gov/Archives/edgar/data/766421/000076642124000082/alk-20240930.htm - :~:text=Other%20noncurrent%20assets-,363,-292%C2%A0" xr:uid="{CFAD9270-19D5-1640-9F69-9577280FD335}"/>
    <hyperlink ref="K6" r:id="rId10" location=":~:text=Other%20noncurrent%20assets-,334%C2%A0,-292" display="https://www.sec.gov/Archives/edgar/data/766421/000076642125000009/alk-20241231.htm - :~:text=Other%20noncurrent%20assets-,334%C2%A0,-292" xr:uid="{86D9D09B-3B3A-6149-8522-381DA0483D45}"/>
    <hyperlink ref="L6" r:id="rId11" location=":~:text=Other%20noncurrent%20assets-,334,-334%C2%A0" display="https://www.sec.gov/Archives/edgar/data/766421/000076642125000017/alk-20250331.htm - :~:text=Other%20noncurrent%20assets-,334,-334%C2%A0" xr:uid="{5B9E9526-5FF3-1C4F-9787-42B3E315DBE3}"/>
    <hyperlink ref="M6" r:id="rId12" location=":~:text=Other%20noncurrent%20assets-,316,-334%C2%A0" display="https://www.sec.gov/Archives/edgar/data/766421/000076642125000036/alk-20250630.htm - :~:text=Other%20noncurrent%20assets-,316,-334%C2%A0" xr:uid="{F620242F-34F2-6849-AE17-977FE91FDDF8}"/>
    <hyperlink ref="N6" r:id="rId13" location=":~:text=Other%20noncurrent%20assets-,436,-334%C2%A0" display="https://www.sec.gov/Archives/edgar/data/766421/000076642125000060/alk-20250930.htm - :~:text=Other%20noncurrent%20assets-,436,-334%C2%A0" xr:uid="{594C44A9-F528-1644-8232-9F8C517A15C1}"/>
    <hyperlink ref="B7" r:id="rId14" location=":~:text=The%20Company%20had-,%2480%20million,-of%20such%20receivables" display="https://www.sec.gov/Archives/edgar/data/766421/000076642122000071/alk-20220930.htm - :~:text=The%20Company%20had-,%2480%20million,-of%20such%20receivables" xr:uid="{90C351FE-F015-064A-8AB4-A740380A739B}"/>
    <hyperlink ref="C7" r:id="rId15" location=":~:text=The%20Company%20had-,%2483%20million,-and%20%2464" display="https://www.sec.gov/Archives/edgar/data/766421/000076642123000009/alk-20221231.htm - :~:text=The%20Company%20had-,%2483%20million,-and%20%2464" xr:uid="{DF135010-ED99-8E4B-B6D6-459EEE73BEC6}"/>
    <hyperlink ref="D7" r:id="rId16" location=":~:text=The%20Company%20had-,%2494%20million,-of%20such%20receivables" display="https://www.sec.gov/Archives/edgar/data/766421/000076642123000023/alk-20230331.htm - :~:text=The%20Company%20had-,%2494%20million,-of%20such%20receivables" xr:uid="{449BBAA0-4C2A-4C47-A2BB-6F93F5AEC5AB}"/>
    <hyperlink ref="E7" r:id="rId17" location=":~:text=The%20Company%20had-,%2496%20million,-of%20such%20receivables" display="https://www.sec.gov/Archives/edgar/data/766421/000076642123000034/alk-20230630.htm - :~:text=The%20Company%20had-,%2496%20million,-of%20such%20receivables" xr:uid="{DFF4A097-890F-F944-AC94-9E69E5208B89}"/>
    <hyperlink ref="F7" r:id="rId18" location=":~:text=The%20Company%20had-,%2491%20million,-of%20such%20receivables" display="https://www.sec.gov/Archives/edgar/data/766421/000076642123000046/alk-20230930.htm - :~:text=The%20Company%20had-,%2491%20million,-of%20such%20receivables" xr:uid="{11F7CB7B-3F30-4A42-A5F0-66F1C22B16E2}"/>
    <hyperlink ref="G7" r:id="rId19" location=":~:text=The%20Company%20had-,%24102%20million,-and%20%2483" display="https://www.sec.gov/Archives/edgar/data/766421/000076642124000012/alk-20231231.htm - :~:text=The%20Company%20had-,%24102%20million,-and%20%2483" xr:uid="{C5FD2275-E67D-CD4B-968B-0EC7A6E53811}"/>
    <hyperlink ref="H7" r:id="rId20" location=":~:text=The%20Company%20had-,%24104%20million,-of%20such%20receivables" display="https://www.sec.gov/Archives/edgar/data/766421/000076642124000031/alk-20240331.htm - :~:text=The%20Company%20had-,%24104%20million,-of%20such%20receivables" xr:uid="{7EA53C1C-699E-3545-ADFE-FEEE662CF3E5}"/>
    <hyperlink ref="I7" r:id="rId21" location=":~:text=The%20Company%20had-,%2487%20million,-of%20such%20receivables" display="https://www.sec.gov/Archives/edgar/data/766421/000076642124000045/alk-20240630.htm - :~:text=The%20Company%20had-,%2487%20million,-of%20such%20receivables" xr:uid="{CCC01746-70A0-4645-AE5C-6A17DEF4682A}"/>
    <hyperlink ref="J7" r:id="rId22" location=":~:text=The%20Company%20had-,%24105%20million,-of%20such%20receivables" display="https://www.sec.gov/Archives/edgar/data/766421/000076642124000082/alk-20240930.htm - :~:text=The%20Company%20had-,%24105%20million,-of%20such%20receivables" xr:uid="{FBE89E5C-6492-B941-B6C2-FFA6F9261B14}"/>
    <hyperlink ref="K7" r:id="rId23" location=":~:text=The%20Company%20had-,%24105%20million,-of%20such%20receivables" display="https://www.sec.gov/Archives/edgar/data/766421/000076642124000082/alk-20240930.htm - :~:text=The%20Company%20had-,%24105%20million,-of%20such%20receivables" xr:uid="{867E5C54-270F-A644-9B26-DB0408A8C452}"/>
    <hyperlink ref="L7" r:id="rId24" location=":~:text=The%20Company%20had-,%24111%20million,-of%20such%20receivables" display="https://www.sec.gov/Archives/edgar/data/766421/000076642125000017/alk-20250331.htm - :~:text=The%20Company%20had-,%24111%20million,-of%20such%20receivables" xr:uid="{5661BAAF-B1A5-8A47-B6D4-0426BE5EADFE}"/>
    <hyperlink ref="M7" r:id="rId25" location=":~:text=The%20Company%20had-,%24306%20million,-of%20such%20receivables" display="https://www.sec.gov/Archives/edgar/data/766421/000076642125000036/alk-20250630.htm - :~:text=The%20Company%20had-,%24306%20million,-of%20such%20receivables" xr:uid="{F462695A-C278-B143-BF24-CADE1ED03D7E}"/>
    <hyperlink ref="N7" r:id="rId26" location=":~:text=The%20Company%20had-,%24177%20million,-of%20such%20receivables" display="https://www.sec.gov/Archives/edgar/data/766421/000076642125000060/alk-20250930.htm - :~:text=The%20Company%20had-,%24177%20million,-of%20such%20receivables" xr:uid="{81400377-D4BA-B346-A0FF-58F0F338809E}"/>
    <hyperlink ref="N13" r:id="rId27" location=":~:text=%24-,1%2C652,-%24" display="https://www.sec.gov/Archives/edgar/data/766421/000076642125000060/alk-20250930.htm - :~:text=%24-,1%2C652,-%24" xr:uid="{B1957D51-4B8E-794C-BD3D-EC9881BB5090}"/>
    <hyperlink ref="M13" r:id="rId28" location=":~:text=290-,%24,-677%C2%A0" display="https://www.sec.gov/Archives/edgar/data/766421/000076642125000036/alk-20250630.htm - :~:text=290-,%24,-677%C2%A0" xr:uid="{95C1602D-51C9-1542-96AD-30C73C2D4B61}"/>
    <hyperlink ref="L13" r:id="rId29" location=":~:text=program%20passenger%20revenue-,%24,-316%C2%A0" display="https://www.sec.gov/Archives/edgar/data/766421/000076642125000017/alk-20250331.htm - :~:text=program%20passenger%20revenue-,%24,-316%C2%A0" xr:uid="{19A44896-72AC-0946-AB00-D93F1FFFD82F}"/>
    <hyperlink ref="K13" r:id="rId30" location=":~:text=program%20passenger%20revenue-,%24,-1%2C180%C2%A0" display="https://www.sec.gov/Archives/edgar/data/766421/000076642125000009/alk-20241231.htm - :~:text=program%20passenger%20revenue-,%24,-1%2C180%C2%A0" xr:uid="{36DB47CB-546C-0D42-9062-9CD7DB9B8D5A}"/>
    <hyperlink ref="J13" r:id="rId31" location=":~:text=257-,%24,-827%C2%A0" display="https://www.sec.gov/Archives/edgar/data/766421/000076642124000082/alk-20240930.htm - :~:text=257-,%24,-827%C2%A0" xr:uid="{ACB114D4-AB73-DB4C-B0AC-0CC1E58E866D}"/>
    <hyperlink ref="I13" r:id="rId32" location=":~:text=268-,%24,-538%C2%A0" display="https://www.sec.gov/Archives/edgar/data/766421/000076642124000045/alk-20240630.htm - :~:text=268-,%24,-538%C2%A0" xr:uid="{E8ED9469-A4F5-9244-8715-6BE58BFA8D49}"/>
    <hyperlink ref="H13" r:id="rId33" location=":~:text=Plan%20passenger%20revenue-,%24,-248%C2%A0" display="https://www.sec.gov/Archives/edgar/data/766421/000076642124000031/alk-20240331.htm - :~:text=Plan%20passenger%20revenue-,%24,-248%C2%A0" xr:uid="{321DC0BC-B036-FA4A-8995-F28F064C74B9}"/>
    <hyperlink ref="G13" r:id="rId34" location=":~:text=Passenger%20revenue-,%24,-1%2C034%C2%A0" display="https://www.sec.gov/Archives/edgar/data/766421/000076642124000012/alk-20231231.htm - :~:text=Passenger%20revenue-,%24,-1%2C034%C2%A0" xr:uid="{B91775F5-3C30-DF46-BA46-963296722AAA}"/>
    <hyperlink ref="F13" r:id="rId35" location=":~:text=236-,%24,-757%C2%A0" display="https://www.sec.gov/Archives/edgar/data/766421/000076642123000046/alk-20230930.htm - :~:text=236-,%24,-757%C2%A0" xr:uid="{45848621-570C-954A-A74A-DE8988C34884}"/>
    <hyperlink ref="E13" r:id="rId36" location=":~:text=247-,%24,-500%C2%A0" display="https://www.sec.gov/Archives/edgar/data/766421/000076642123000034/alk-20230630.htm - :~:text=247-,%24,-500%C2%A0" xr:uid="{79DBC01A-3644-E14B-A1C9-03FEE9399CD7}"/>
    <hyperlink ref="D13" r:id="rId37" location=":~:text=Passenger%20revenue-,%24,-232%C2%A0" display="https://www.sec.gov/Archives/edgar/data/766421/000076642123000023/alk-20230331.htm - :~:text=Passenger%20revenue-,%24,-232%C2%A0" xr:uid="{D79B8E52-31CB-0247-AD56-5BFC294F191F}"/>
    <hyperlink ref="C13" r:id="rId38" location=":~:text=Passenger%20revenue-,%24,-931%C2%A0" display="https://www.sec.gov/Archives/edgar/data/766421/000076642123000009/alk-20221231.htm - :~:text=Passenger%20revenue-,%24,-931%C2%A0" xr:uid="{A35D1505-C07F-7546-95E2-5C7FB124B914}"/>
    <hyperlink ref="B13" r:id="rId39" location=":~:text=190-,%24,-671%C2%A0" display="https://www.sec.gov/Archives/edgar/data/766421/000076642122000071/alk-20220930.htm - :~:text=190-,%24,-671%C2%A0" xr:uid="{850EE3BA-7C00-B342-96AE-57BA96E5D5A1}"/>
    <hyperlink ref="B11" r:id="rId40" location=":~:text=redemption%20%2D%20Passenger%20revenue-,(632),-(428)" display="https://www.sec.gov/Archives/edgar/data/766421/000076642122000071/alk-20220930.htm - :~:text=redemption%20%2D%20Passenger%20revenue-,(632),-(428)" xr:uid="{7798DB3D-D478-954B-90E8-F20CDA50F26C}"/>
    <hyperlink ref="C11" r:id="rId41" location=":~:text=redemption%20%2D%20Passenger%20revenue-,(878),-(639)" display="https://www.sec.gov/Archives/edgar/data/766421/000076642123000009/alk-20221231.htm - :~:text=redemption%20%2D%20Passenger%20revenue-,(878),-(639)" xr:uid="{54CCFD94-7D75-A646-86B3-CE86A5C8FA3E}"/>
    <hyperlink ref="D11" r:id="rId42" location=":~:text=redemption%20%2D%20Passenger%20revenue-,(218),-(176)" display="https://www.sec.gov/Archives/edgar/data/766421/000076642123000023/alk-20230331.htm - :~:text=redemption%20%2D%20Passenger%20revenue-,(218),-(176)" xr:uid="{FC86CDA3-1503-104D-94E5-8FF5FDCC9057}"/>
    <hyperlink ref="E11" r:id="rId43" location=":~:text=redemption%20%2D%20Passenger%20revenue-,(470),-(409)" display="https://www.sec.gov/Archives/edgar/data/766421/000076642123000034/alk-20230630.htm - :~:text=redemption%20%2D%20Passenger%20revenue-,(470),-(409)" xr:uid="{A1BB2E3A-B010-D342-A22E-CF3130F522D3}"/>
    <hyperlink ref="F11" r:id="rId44" location=":~:text=redemption%20%2D%20Passenger%20revenue-,(712),-(632)" display="https://www.sec.gov/Archives/edgar/data/766421/000076642123000046/alk-20230930.htm - :~:text=redemption%20%2D%20Passenger%20revenue-,(712),-(632)" xr:uid="{D42E4173-6CBD-414A-B66F-12DB954B0DB8}"/>
    <hyperlink ref="G11" r:id="rId45" location=":~:text=redemption%20%2D%20Passenger%20revenue-,(974),-(878)" display="https://www.sec.gov/Archives/edgar/data/766421/000076642124000012/alk-20231231.htm - :~:text=redemption%20%2D%20Passenger%20revenue-,(974),-(878)" xr:uid="{6F390E6A-63D7-6C4D-B321-DF05522AAC4D}"/>
    <hyperlink ref="H11" r:id="rId46" location=":~:text=redemption%20%2D%20Passenger%20revenue-,(234),-(218)" display="https://www.sec.gov/Archives/edgar/data/766421/000076642124000031/alk-20240331.htm - :~:text=redemption%20%2D%20Passenger%20revenue-,(234),-(218)" xr:uid="{AFEA7026-8FE5-FA49-B88C-D92259124CB5}"/>
    <hyperlink ref="I11" r:id="rId47" location=":~:text=redemption%20%2D%20Passenger%20revenue-,(508),-(470)" display="https://www.sec.gov/Archives/edgar/data/766421/000076642124000045/alk-20240630.htm - :~:text=redemption%20%2D%20Passenger%20revenue-,(508),-(470)" xr:uid="{E80F5E07-A3E0-E646-88C9-52274E855CEF}"/>
    <hyperlink ref="J11" r:id="rId48" location=":~:text=redemption%20%2D%20Passenger%20revenue-,(782),-(712)" display="https://www.sec.gov/Archives/edgar/data/766421/000076642124000082/alk-20240930.htm - :~:text=redemption%20%2D%20Passenger%20revenue-,(782),-(712)" xr:uid="{E0DDEEFE-D6C8-1047-A0DC-08EA6BB95573}"/>
    <hyperlink ref="K11" r:id="rId49" location=":~:text=redemption%20%2D%20Passenger%20revenue-,(1%2C124),-(974)" display="https://www.sec.gov/Archives/edgar/data/766421/000076642125000009/alk-20241231.htm - :~:text=redemption%20%2D%20Passenger%20revenue-,(1%2C124),-(974)" xr:uid="{A1DC7955-C7AA-F24A-A9BC-9F7F035A12F6}"/>
    <hyperlink ref="L11" r:id="rId50" location=":~:text=redemption%20%2D%20Passenger%20revenue-,(307),-(234)" display="https://www.sec.gov/Archives/edgar/data/766421/000076642125000017/alk-20250331.htm - :~:text=redemption%20%2D%20Passenger%20revenue-,(307),-(234)" xr:uid="{40B8B90F-23FD-264A-A5ED-D60EE9FAB921}"/>
    <hyperlink ref="M11" r:id="rId51" location=":~:text=redemption%20%2D%20Passenger%20revenue-,(655),-(508)" display="https://www.sec.gov/Archives/edgar/data/766421/000076642125000036/alk-20250630.htm - :~:text=redemption%20%2D%20Passenger%20revenue-,(655),-(508)" xr:uid="{343B17B6-5B35-5640-9CDF-E71047C5B6B3}"/>
    <hyperlink ref="N11" r:id="rId52" location=":~:text=redemption%20%2D%20Passenger%20revenue-,(993),-(782)" display="https://www.sec.gov/Archives/edgar/data/766421/000076642125000060/alk-20250930.htm - :~:text=redemption%20%2D%20Passenger%20revenue-,(993),-(782)" xr:uid="{4F3EA3DC-8EEE-E546-B1B7-F4B97F86D76D}"/>
    <hyperlink ref="B12" r:id="rId53" location=":~:text=airlines%20%2D%20Other%20revenue-,(45),-(30)" display="https://www.sec.gov/Archives/edgar/data/766421/000076642122000071/alk-20220930.htm - :~:text=airlines%20%2D%20Other%20revenue-,(45),-(30)" xr:uid="{C341061D-89D7-8D4F-8F14-1C64F9E40B7C}"/>
    <hyperlink ref="C12" r:id="rId54" location=":~:text=airlines%20%2D%20Other%20revenue-,(65),-(43)" display="https://www.sec.gov/Archives/edgar/data/766421/000076642123000009/alk-20221231.htm - :~:text=airlines%20%2D%20Other%20revenue-,(65),-(43)" xr:uid="{EBBD3131-86CA-0145-AB21-D8ED3A42E911}"/>
    <hyperlink ref="D12" r:id="rId55" location=":~:text=airlines%20%2D%20Other%20revenue-,(21),-(9)" display="https://www.sec.gov/Archives/edgar/data/766421/000076642123000023/alk-20230331.htm - :~:text=airlines%20%2D%20Other%20revenue-,(21),-(9)" xr:uid="{9D98EB75-5A26-1541-BDB8-82777E9442C6}"/>
    <hyperlink ref="E12" r:id="rId56" location=":~:text=airlines%20%2D%20Other%20revenue-,(52),-(26)" display="https://www.sec.gov/Archives/edgar/data/766421/000076642123000034/alk-20230630.htm - :~:text=airlines%20%2D%20Other%20revenue-,(52),-(26)" xr:uid="{FC9FBF81-0567-F645-A07F-97930C0EF706}"/>
    <hyperlink ref="F12" r:id="rId57" location=":~:text=airlines%20%2D%20Other%20revenue-,(86),-(45)" display="https://www.sec.gov/Archives/edgar/data/766421/000076642123000046/alk-20230930.htm - :~:text=airlines%20%2D%20Other%20revenue-,(86),-(45)" xr:uid="{F9FF06D8-F59A-6B42-B19E-B721B72C222A}"/>
    <hyperlink ref="G12" r:id="rId58" location=":~:text=airlines%20%2D%20Other%20revenue-,(117),-(65)" display="https://www.sec.gov/Archives/edgar/data/766421/000076642124000012/alk-20231231.htm - :~:text=airlines%20%2D%20Other%20revenue-,(117),-(65)" xr:uid="{86FEF930-C6F4-104A-B2CF-82016D72F466}"/>
    <hyperlink ref="H12" r:id="rId59" location=":~:text=airlines%20%2D%20Other%20revenue-,(28),-(21)" display="https://www.sec.gov/Archives/edgar/data/766421/000076642124000031/alk-20240331.htm - :~:text=airlines%20%2D%20Other%20revenue-,(28),-(21)" xr:uid="{700BBF32-5356-5A46-9518-135FC87412EB}"/>
    <hyperlink ref="I12" r:id="rId60" location=":~:text=airlines%20%2D%20Other%20revenue-,(67),-(52)" display="https://www.sec.gov/Archives/edgar/data/766421/000076642124000045/alk-20240630.htm - :~:text=airlines%20%2D%20Other%20revenue-,(67),-(52)" xr:uid="{F007AD67-5D6F-C34D-A628-21D5202F77FE}"/>
    <hyperlink ref="J12" r:id="rId61" location=":~:text=airlines%20%2D%20Other%20revenue-,(113),-(86)" display="https://www.sec.gov/Archives/edgar/data/766421/000076642124000082/alk-20240930.htm - :~:text=airlines%20%2D%20Other%20revenue-,(113),-(86)" xr:uid="{E1D3F460-CAC9-B744-9699-6369B179A32B}"/>
    <hyperlink ref="K12" r:id="rId62" location=":~:text=program%20other%20revenue-,(160),-(117)" display="https://www.sec.gov/Archives/edgar/data/766421/000076642125000009/alk-20241231.htm - :~:text=program%20other%20revenue-,(160),-(117)" xr:uid="{9ABAA7BE-CDBC-8B43-841C-8B9E5D17275C}"/>
    <hyperlink ref="L12" r:id="rId63" location=":~:text=program%20other%20revenue-,(49),-(28)" display="https://www.sec.gov/Archives/edgar/data/766421/000076642125000017/alk-20250331.htm - :~:text=program%20other%20revenue-,(49),-(28)" xr:uid="{162078A9-E192-3343-8B7B-14EB4F252442}"/>
    <hyperlink ref="M12" r:id="rId64" location=":~:text=program%20other%20revenue-,(119),-(67)" display="https://www.sec.gov/Archives/edgar/data/766421/000076642125000036/alk-20250630.htm - :~:text=program%20other%20revenue-,(119),-(67)" xr:uid="{BDD6E2D8-9035-6A48-8218-CD86C6197376}"/>
    <hyperlink ref="N12" r:id="rId65" location=":~:text=program%20other%20revenue-,(194),-(113)" display="https://www.sec.gov/Archives/edgar/data/766421/000076642125000060/alk-20250930.htm - :~:text=program%20other%20revenue-,(194),-(113)" xr:uid="{30E888EB-DCE9-604F-A3F1-AB24ECF2E9A5}"/>
    <hyperlink ref="B10" r:id="rId66" location=":~:text=mileage%20credits%20issued-,800%C2%A0,-531%C2%A0" display="https://www.sec.gov/Archives/edgar/data/766421/000076642122000071/alk-20220930.htm - :~:text=mileage%20credits%20issued-,800%C2%A0,-531%C2%A0" xr:uid="{940B93F2-AEF5-C347-B562-3F913AFEBD49}"/>
    <hyperlink ref="C10" r:id="rId67" location=":~:text=mileage%20credits%20issued-,1%2C082,-763%C2%A0" display="https://www.sec.gov/Archives/edgar/data/766421/000076642123000009/alk-20221231.htm - :~:text=mileage%20credits%20issued-,1%2C082,-763%C2%A0" xr:uid="{44B7DACE-EC39-384C-9D34-214DDF5E94D9}"/>
    <hyperlink ref="D10" r:id="rId68" location=":~:text=mileage%20credits%20issued-,285,-259%C2%A0" display="https://www.sec.gov/Archives/edgar/data/766421/000076642123000023/alk-20230331.htm - :~:text=mileage%20credits%20issued-,285,-259%C2%A0" xr:uid="{9CD371E2-7BBE-7A43-8335-4FEDC5C43772}"/>
    <hyperlink ref="E10" r:id="rId69" location=":~:text=mileage%20credits%20issued-,602%C2%A0,-518%C2%A0" display="https://www.sec.gov/Archives/edgar/data/766421/000076642123000034/alk-20230630.htm - :~:text=mileage%20credits%20issued-,602%C2%A0,-518%C2%A0" xr:uid="{BC22202E-244B-0141-A615-065C0A2DD47F}"/>
    <hyperlink ref="F10" r:id="rId70" location=":~:text=mileage%20credits%20issued-,900%C2%A0,-800%C2%A0" display="https://www.sec.gov/Archives/edgar/data/766421/000076642123000046/alk-20230930.htm - :~:text=mileage%20credits%20issued-,900%C2%A0,-800%C2%A0" xr:uid="{88F92CF2-57D1-1841-AF14-4F105BFE18BD}"/>
    <hyperlink ref="G10" r:id="rId71" location=":~:text=mileage%20credits%20issued-,1%2C197%C2%A0,-1%2C082%C2%A0" display="https://www.sec.gov/Archives/edgar/data/766421/000076642124000012/alk-20231231.htm - :~:text=mileage%20credits%20issued-,1%2C197%C2%A0,-1%2C082%C2%A0" xr:uid="{C2D60428-901E-F34C-B127-C6F9B9E34DCA}"/>
    <hyperlink ref="H10" r:id="rId72" location=":~:text=mileage%20credits%20issued-,292%C2%A0,-285%C2%A0" display="https://www.sec.gov/Archives/edgar/data/766421/000076642124000031/alk-20240331.htm - :~:text=mileage%20credits%20issued-,292%C2%A0,-285%C2%A0" xr:uid="{45EB814B-D5B0-DC4B-A74C-EFEFFF1F5769}"/>
    <hyperlink ref="I10" r:id="rId73" location=":~:text=mileage%20credits%20issued-,613%C2%A0,-602%C2%A0" display="https://www.sec.gov/Archives/edgar/data/766421/000076642124000045/alk-20240630.htm - :~:text=mileage%20credits%20issued-,613%C2%A0,-602%C2%A0" xr:uid="{58D54E5E-67C8-B642-97A6-83209DD50EC4}"/>
    <hyperlink ref="J10" r:id="rId74" location=":~:text=mileage%20credits%20issued-,947%C2%A0,-900%C2%A0" display="https://www.sec.gov/Archives/edgar/data/766421/000076642124000082/alk-20240930.htm - :~:text=mileage%20credits%20issued-,947%C2%A0,-900%C2%A0" xr:uid="{F2BE48B4-77C6-134F-8E3D-557DEEE4B7BB}"/>
    <hyperlink ref="K10" r:id="rId75" location=":~:text=mileage%20credits%20issued-,1%2C400%C2%A0,-1%2C197%C2%A0" display="https://www.sec.gov/Archives/edgar/data/766421/000076642125000009/alk-20241231.htm - :~:text=mileage%20credits%20issued-,1%2C400%C2%A0,-1%2C197%C2%A0" xr:uid="{605EF8A3-E227-1844-BB7B-CE84245E7A8E}"/>
    <hyperlink ref="L10" r:id="rId76" location=":~:text=mileage%20credits%20issued-,414%C2%A0,-292%C2%A0" display="https://www.sec.gov/Archives/edgar/data/766421/000076642125000017/alk-20250331.htm - :~:text=mileage%20credits%20issued-,414%C2%A0,-292%C2%A0" xr:uid="{FD4D5F06-E26C-A74B-A094-10C3C4A4A509}"/>
    <hyperlink ref="M10" r:id="rId77" location=":~:text=mileage%20credits%20issued-,990%C2%A0,-613%C2%A0" display="https://www.sec.gov/Archives/edgar/data/766421/000076642125000036/alk-20250630.htm - :~:text=mileage%20credits%20issued-,990%C2%A0,-613%C2%A0" xr:uid="{78A3C94D-3ADB-2D4A-8FE1-9E19F2C9CC24}"/>
    <hyperlink ref="N10" r:id="rId78" location=":~:text=loyalty%20points%20issued-,1%2C364,-947%C2%A0" display="https://www.sec.gov/Archives/edgar/data/766421/000076642125000060/alk-20250930.htm - :~:text=loyalty%20points%20issued-,1%2C364,-947%C2%A0" xr:uid="{DB792511-51D3-8F4F-B782-425508594961}"/>
  </hyperlinks>
  <printOptions horizontalCentered="1"/>
  <pageMargins left="0.5" right="0.5" top="0.75" bottom="0.75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17"/>
  <sheetViews>
    <sheetView zoomScale="228" zoomScaleNormal="228" workbookViewId="0">
      <selection activeCell="A17" sqref="A17"/>
    </sheetView>
  </sheetViews>
  <sheetFormatPr baseColWidth="10" defaultColWidth="8.6640625" defaultRowHeight="15" x14ac:dyDescent="0.2"/>
  <cols>
    <col min="1" max="1" width="42" customWidth="1"/>
    <col min="2" max="14" width="10" customWidth="1"/>
  </cols>
  <sheetData>
    <row r="1" spans="1:16" ht="19" x14ac:dyDescent="0.25">
      <c r="A1" s="68" t="s">
        <v>61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</row>
    <row r="2" spans="1:16" x14ac:dyDescent="0.2">
      <c r="A2" s="10" t="s">
        <v>37</v>
      </c>
    </row>
    <row r="4" spans="1:16" x14ac:dyDescent="0.2">
      <c r="A4" s="11" t="s">
        <v>38</v>
      </c>
      <c r="B4" s="12" t="s">
        <v>39</v>
      </c>
      <c r="C4" s="12" t="s">
        <v>40</v>
      </c>
      <c r="D4" s="12" t="s">
        <v>41</v>
      </c>
      <c r="E4" s="12" t="s">
        <v>42</v>
      </c>
      <c r="F4" s="12" t="s">
        <v>43</v>
      </c>
      <c r="G4" s="12" t="s">
        <v>44</v>
      </c>
      <c r="H4" s="12" t="s">
        <v>45</v>
      </c>
      <c r="I4" s="12" t="s">
        <v>46</v>
      </c>
      <c r="J4" s="12" t="s">
        <v>47</v>
      </c>
      <c r="K4" s="12" t="s">
        <v>48</v>
      </c>
      <c r="L4" s="12" t="s">
        <v>49</v>
      </c>
      <c r="M4" s="12" t="s">
        <v>50</v>
      </c>
      <c r="N4" s="12" t="s">
        <v>51</v>
      </c>
    </row>
    <row r="5" spans="1:16" x14ac:dyDescent="0.2">
      <c r="A5" s="69" t="s">
        <v>62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</row>
    <row r="6" spans="1:16" x14ac:dyDescent="0.2">
      <c r="A6" s="13" t="s">
        <v>63</v>
      </c>
      <c r="B6" s="14">
        <v>705</v>
      </c>
      <c r="C6" s="14">
        <v>710</v>
      </c>
      <c r="D6" s="14">
        <v>747</v>
      </c>
      <c r="E6" s="14">
        <v>902</v>
      </c>
      <c r="F6" s="14">
        <v>816</v>
      </c>
      <c r="G6" s="14">
        <v>832</v>
      </c>
      <c r="H6" s="14">
        <v>840</v>
      </c>
      <c r="I6" s="14">
        <v>919</v>
      </c>
      <c r="J6" s="14">
        <v>884</v>
      </c>
      <c r="K6" s="14">
        <v>920</v>
      </c>
      <c r="L6" s="14">
        <v>919</v>
      </c>
      <c r="M6" s="14">
        <v>991</v>
      </c>
      <c r="N6" s="72">
        <v>968</v>
      </c>
    </row>
    <row r="7" spans="1:16" x14ac:dyDescent="0.2">
      <c r="A7" s="13" t="s">
        <v>64</v>
      </c>
      <c r="B7" s="14">
        <v>600</v>
      </c>
      <c r="C7" s="14">
        <v>700</v>
      </c>
      <c r="D7" s="14">
        <v>646</v>
      </c>
      <c r="E7" s="14">
        <v>654</v>
      </c>
      <c r="F7" s="14">
        <v>700</v>
      </c>
      <c r="G7" s="14">
        <v>700</v>
      </c>
      <c r="H7" s="14">
        <v>714</v>
      </c>
      <c r="I7" s="14">
        <v>786</v>
      </c>
      <c r="J7" s="14">
        <v>700</v>
      </c>
      <c r="K7" s="14">
        <v>700</v>
      </c>
      <c r="L7" s="14">
        <v>774</v>
      </c>
      <c r="M7" s="14">
        <v>826</v>
      </c>
      <c r="N7" s="72">
        <v>800</v>
      </c>
    </row>
    <row r="9" spans="1:16" x14ac:dyDescent="0.2">
      <c r="A9" s="69" t="s">
        <v>65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</row>
    <row r="10" spans="1:16" x14ac:dyDescent="0.2">
      <c r="A10" s="13" t="s">
        <v>63</v>
      </c>
      <c r="B10" s="14">
        <v>938</v>
      </c>
      <c r="C10" s="14">
        <v>923</v>
      </c>
      <c r="D10" s="14">
        <v>999</v>
      </c>
      <c r="E10" s="14">
        <v>1111</v>
      </c>
      <c r="F10" s="14">
        <v>1054</v>
      </c>
      <c r="G10" s="14">
        <v>1009</v>
      </c>
      <c r="H10" s="14">
        <v>1021</v>
      </c>
      <c r="I10" s="14">
        <v>1127</v>
      </c>
      <c r="J10" s="14">
        <v>1155</v>
      </c>
      <c r="K10" s="14">
        <v>1160</v>
      </c>
      <c r="L10" s="14">
        <v>1152</v>
      </c>
      <c r="M10" s="14">
        <v>1235</v>
      </c>
      <c r="N10" s="73">
        <v>1218</v>
      </c>
    </row>
    <row r="11" spans="1:16" x14ac:dyDescent="0.2">
      <c r="A11" s="13" t="s">
        <v>66</v>
      </c>
      <c r="B11" s="14">
        <v>656</v>
      </c>
      <c r="C11" s="14">
        <v>720</v>
      </c>
      <c r="D11" s="14">
        <v>726</v>
      </c>
      <c r="E11" s="14">
        <v>774</v>
      </c>
      <c r="F11" s="14">
        <v>791</v>
      </c>
      <c r="G11" s="14">
        <v>802</v>
      </c>
      <c r="H11" s="14">
        <v>795</v>
      </c>
      <c r="I11" s="14">
        <v>836</v>
      </c>
      <c r="J11" s="14">
        <v>820</v>
      </c>
      <c r="K11" s="14">
        <v>846</v>
      </c>
      <c r="L11" s="14">
        <v>807</v>
      </c>
      <c r="M11" s="14">
        <v>855</v>
      </c>
      <c r="N11" s="72">
        <v>847</v>
      </c>
    </row>
    <row r="13" spans="1:16" x14ac:dyDescent="0.2">
      <c r="A13" s="69" t="s">
        <v>67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</row>
    <row r="14" spans="1:16" x14ac:dyDescent="0.2">
      <c r="A14" s="13" t="s">
        <v>63</v>
      </c>
      <c r="B14" s="14">
        <v>771</v>
      </c>
      <c r="C14" s="14">
        <v>854</v>
      </c>
      <c r="D14" s="14">
        <v>788</v>
      </c>
      <c r="E14" s="14">
        <v>1214</v>
      </c>
      <c r="F14" s="14">
        <v>898</v>
      </c>
      <c r="G14" s="14">
        <v>910</v>
      </c>
      <c r="H14" s="14">
        <v>1159</v>
      </c>
      <c r="I14" s="14">
        <v>1009</v>
      </c>
      <c r="J14" s="14">
        <v>937</v>
      </c>
      <c r="K14" s="14">
        <v>1377</v>
      </c>
      <c r="L14" s="14">
        <v>1204</v>
      </c>
      <c r="M14" s="14">
        <v>1074</v>
      </c>
      <c r="N14" s="73">
        <v>1084</v>
      </c>
    </row>
    <row r="15" spans="1:16" x14ac:dyDescent="0.2">
      <c r="A15" s="13" t="s">
        <v>68</v>
      </c>
      <c r="B15" s="14">
        <v>613</v>
      </c>
      <c r="C15" s="14">
        <v>892</v>
      </c>
      <c r="D15" s="14">
        <v>613</v>
      </c>
      <c r="E15" s="14">
        <v>539</v>
      </c>
      <c r="F15" s="14">
        <v>613</v>
      </c>
      <c r="G15" s="14">
        <v>1164</v>
      </c>
      <c r="H15" s="14">
        <v>786</v>
      </c>
      <c r="I15" s="14">
        <v>798</v>
      </c>
      <c r="J15" s="14">
        <v>779</v>
      </c>
      <c r="K15" s="14">
        <v>894</v>
      </c>
      <c r="L15" s="14">
        <v>823</v>
      </c>
      <c r="M15" s="14">
        <v>912</v>
      </c>
      <c r="N15" s="72">
        <v>831</v>
      </c>
    </row>
    <row r="17" spans="1:1" x14ac:dyDescent="0.2">
      <c r="A17" s="75" t="s">
        <v>295</v>
      </c>
    </row>
  </sheetData>
  <mergeCells count="4">
    <mergeCell ref="A1:P1"/>
    <mergeCell ref="A5:N5"/>
    <mergeCell ref="A9:N9"/>
    <mergeCell ref="A13:N13"/>
  </mergeCells>
  <printOptions horizontalCentered="1"/>
  <pageMargins left="0.5" right="0.5" top="0.75" bottom="0.75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34"/>
  <sheetViews>
    <sheetView topLeftCell="A10" zoomScale="153" zoomScaleNormal="153" workbookViewId="0">
      <selection activeCell="B31" sqref="B31"/>
    </sheetView>
  </sheetViews>
  <sheetFormatPr baseColWidth="10" defaultColWidth="8.6640625" defaultRowHeight="15" x14ac:dyDescent="0.2"/>
  <cols>
    <col min="1" max="1" width="38" customWidth="1"/>
    <col min="2" max="2" width="14" customWidth="1"/>
    <col min="3" max="14" width="10" customWidth="1"/>
  </cols>
  <sheetData>
    <row r="1" spans="1:16" ht="19" x14ac:dyDescent="0.25">
      <c r="A1" s="68" t="s">
        <v>69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</row>
    <row r="2" spans="1:16" x14ac:dyDescent="0.2">
      <c r="A2" s="15" t="s">
        <v>70</v>
      </c>
    </row>
    <row r="4" spans="1:16" x14ac:dyDescent="0.2">
      <c r="A4" s="69" t="s">
        <v>71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</row>
    <row r="5" spans="1:16" x14ac:dyDescent="0.2">
      <c r="A5" s="16" t="s">
        <v>38</v>
      </c>
      <c r="B5" s="17" t="s">
        <v>39</v>
      </c>
      <c r="C5" s="17" t="s">
        <v>40</v>
      </c>
      <c r="D5" s="17" t="s">
        <v>41</v>
      </c>
      <c r="E5" s="17" t="s">
        <v>42</v>
      </c>
      <c r="F5" s="17" t="s">
        <v>43</v>
      </c>
      <c r="G5" s="17" t="s">
        <v>44</v>
      </c>
      <c r="H5" s="17" t="s">
        <v>45</v>
      </c>
      <c r="I5" s="17" t="s">
        <v>46</v>
      </c>
      <c r="J5" s="17" t="s">
        <v>47</v>
      </c>
      <c r="K5" s="17" t="s">
        <v>48</v>
      </c>
      <c r="L5" s="17" t="s">
        <v>49</v>
      </c>
      <c r="M5" s="17" t="s">
        <v>50</v>
      </c>
      <c r="N5" s="17" t="s">
        <v>51</v>
      </c>
    </row>
    <row r="6" spans="1:16" x14ac:dyDescent="0.2">
      <c r="A6" t="s">
        <v>72</v>
      </c>
      <c r="B6" s="18">
        <f>'Sch1 ALK SEC Data'!B10</f>
        <v>282</v>
      </c>
      <c r="C6" s="18">
        <f>'Sch1 ALK SEC Data'!C10</f>
        <v>282</v>
      </c>
      <c r="D6" s="18">
        <f>'Sch1 ALK SEC Data'!D10</f>
        <v>285</v>
      </c>
      <c r="E6" s="18">
        <f>'Sch1 ALK SEC Data'!E10</f>
        <v>317</v>
      </c>
      <c r="F6" s="18">
        <f>'Sch1 ALK SEC Data'!F10</f>
        <v>298</v>
      </c>
      <c r="G6" s="18">
        <f>'Sch1 ALK SEC Data'!G10</f>
        <v>297</v>
      </c>
      <c r="H6" s="18">
        <f>'Sch1 ALK SEC Data'!H10</f>
        <v>292</v>
      </c>
      <c r="I6" s="18">
        <f>'Sch1 ALK SEC Data'!I10</f>
        <v>321</v>
      </c>
      <c r="J6" s="18">
        <f>'Sch1 ALK SEC Data'!J10</f>
        <v>334</v>
      </c>
      <c r="K6" s="18">
        <f>'Sch1 ALK SEC Data'!K10</f>
        <v>453</v>
      </c>
      <c r="L6" s="18">
        <f>'Sch1 ALK SEC Data'!L10</f>
        <v>414</v>
      </c>
      <c r="M6" s="18">
        <f>'Sch1 ALK SEC Data'!M10</f>
        <v>576</v>
      </c>
      <c r="N6" s="18">
        <f>'Sch1 ALK SEC Data'!N10</f>
        <v>374</v>
      </c>
    </row>
    <row r="7" spans="1:16" x14ac:dyDescent="0.2">
      <c r="A7" t="s">
        <v>73</v>
      </c>
      <c r="B7" s="18">
        <f>'Sch1 ALK SEC Data'!B13</f>
        <v>146</v>
      </c>
      <c r="C7" s="18">
        <f>'Sch1 ALK SEC Data'!C13</f>
        <v>157</v>
      </c>
      <c r="D7" s="18">
        <f>'Sch1 ALK SEC Data'!D13</f>
        <v>154</v>
      </c>
      <c r="E7" s="18">
        <f>'Sch1 ALK SEC Data'!E13</f>
        <v>170</v>
      </c>
      <c r="F7" s="18">
        <f>'Sch1 ALK SEC Data'!F13</f>
        <v>159</v>
      </c>
      <c r="G7" s="18">
        <f>'Sch1 ALK SEC Data'!G13</f>
        <v>165</v>
      </c>
      <c r="H7" s="18">
        <f>'Sch1 ALK SEC Data'!H13</f>
        <v>164</v>
      </c>
      <c r="I7" s="18">
        <f>'Sch1 ALK SEC Data'!I13</f>
        <v>174</v>
      </c>
      <c r="J7" s="18">
        <f>'Sch1 ALK SEC Data'!J13</f>
        <v>171</v>
      </c>
      <c r="K7" s="18">
        <f>'Sch1 ALK SEC Data'!K13</f>
        <v>224</v>
      </c>
      <c r="L7" s="18">
        <f>'Sch1 ALK SEC Data'!L13</f>
        <v>207</v>
      </c>
      <c r="M7" s="18">
        <f>'Sch1 ALK SEC Data'!M13</f>
        <v>210</v>
      </c>
      <c r="N7" s="18">
        <f>'Sch1 ALK SEC Data'!N13</f>
        <v>200</v>
      </c>
    </row>
    <row r="8" spans="1:16" x14ac:dyDescent="0.2">
      <c r="A8" s="4" t="s">
        <v>74</v>
      </c>
      <c r="B8" s="19">
        <f t="shared" ref="B8:N8" si="0">B6/B7</f>
        <v>1.9315068493150684</v>
      </c>
      <c r="C8" s="19">
        <f t="shared" si="0"/>
        <v>1.7961783439490446</v>
      </c>
      <c r="D8" s="19">
        <f t="shared" si="0"/>
        <v>1.8506493506493507</v>
      </c>
      <c r="E8" s="19">
        <f t="shared" si="0"/>
        <v>1.8647058823529412</v>
      </c>
      <c r="F8" s="19">
        <f t="shared" si="0"/>
        <v>1.8742138364779874</v>
      </c>
      <c r="G8" s="19">
        <f t="shared" si="0"/>
        <v>1.8</v>
      </c>
      <c r="H8" s="19">
        <f t="shared" si="0"/>
        <v>1.7804878048780488</v>
      </c>
      <c r="I8" s="19">
        <f t="shared" si="0"/>
        <v>1.8448275862068966</v>
      </c>
      <c r="J8" s="19">
        <f t="shared" si="0"/>
        <v>1.9532163742690059</v>
      </c>
      <c r="K8" s="19">
        <f t="shared" si="0"/>
        <v>2.0223214285714284</v>
      </c>
      <c r="L8" s="19">
        <f t="shared" si="0"/>
        <v>2</v>
      </c>
      <c r="M8" s="20">
        <f t="shared" si="0"/>
        <v>2.7428571428571429</v>
      </c>
      <c r="N8" s="19">
        <f t="shared" si="0"/>
        <v>1.87</v>
      </c>
    </row>
    <row r="10" spans="1:16" x14ac:dyDescent="0.2">
      <c r="A10" t="s">
        <v>75</v>
      </c>
      <c r="B10" s="21">
        <f>'Sch2 Peers SEC Data'!B6/'Sch2 Peers SEC Data'!B7</f>
        <v>1.175</v>
      </c>
      <c r="C10" s="21">
        <f>'Sch2 Peers SEC Data'!C6/'Sch2 Peers SEC Data'!C7</f>
        <v>1.0142857142857142</v>
      </c>
      <c r="D10" s="21">
        <f>'Sch2 Peers SEC Data'!D6/'Sch2 Peers SEC Data'!D7</f>
        <v>1.1563467492260062</v>
      </c>
      <c r="E10" s="21">
        <f>'Sch2 Peers SEC Data'!E6/'Sch2 Peers SEC Data'!E7</f>
        <v>1.379204892966361</v>
      </c>
      <c r="F10" s="21">
        <f>'Sch2 Peers SEC Data'!F6/'Sch2 Peers SEC Data'!F7</f>
        <v>1.1657142857142857</v>
      </c>
      <c r="G10" s="21">
        <f>'Sch2 Peers SEC Data'!G6/'Sch2 Peers SEC Data'!G7</f>
        <v>1.1885714285714286</v>
      </c>
      <c r="H10" s="21">
        <f>'Sch2 Peers SEC Data'!H6/'Sch2 Peers SEC Data'!H7</f>
        <v>1.1764705882352942</v>
      </c>
      <c r="I10" s="21">
        <f>'Sch2 Peers SEC Data'!I6/'Sch2 Peers SEC Data'!I7</f>
        <v>1.1692111959287532</v>
      </c>
      <c r="J10" s="21">
        <f>'Sch2 Peers SEC Data'!J6/'Sch2 Peers SEC Data'!J7</f>
        <v>1.2628571428571429</v>
      </c>
      <c r="K10" s="21">
        <f>'Sch2 Peers SEC Data'!K6/'Sch2 Peers SEC Data'!K7</f>
        <v>1.3142857142857143</v>
      </c>
      <c r="L10" s="21">
        <f>'Sch2 Peers SEC Data'!L6/'Sch2 Peers SEC Data'!L7</f>
        <v>1.1873385012919897</v>
      </c>
      <c r="M10" s="21">
        <f>'Sch2 Peers SEC Data'!M6/'Sch2 Peers SEC Data'!M7</f>
        <v>1.1997578692493946</v>
      </c>
      <c r="N10" s="21">
        <f>'Sch2 Peers SEC Data'!N6/'Sch2 Peers SEC Data'!N7</f>
        <v>1.21</v>
      </c>
    </row>
    <row r="11" spans="1:16" x14ac:dyDescent="0.2">
      <c r="A11" t="s">
        <v>76</v>
      </c>
      <c r="B11" s="21">
        <f>'Sch2 Peers SEC Data'!B10/'Sch2 Peers SEC Data'!B11</f>
        <v>1.4298780487804879</v>
      </c>
      <c r="C11" s="21">
        <f>'Sch2 Peers SEC Data'!C10/'Sch2 Peers SEC Data'!C11</f>
        <v>1.2819444444444446</v>
      </c>
      <c r="D11" s="21">
        <f>'Sch2 Peers SEC Data'!D10/'Sch2 Peers SEC Data'!D11</f>
        <v>1.3760330578512396</v>
      </c>
      <c r="E11" s="21">
        <f>'Sch2 Peers SEC Data'!E10/'Sch2 Peers SEC Data'!E11</f>
        <v>1.4354005167958657</v>
      </c>
      <c r="F11" s="21">
        <f>'Sch2 Peers SEC Data'!F10/'Sch2 Peers SEC Data'!F11</f>
        <v>1.3324905183312263</v>
      </c>
      <c r="G11" s="21">
        <f>'Sch2 Peers SEC Data'!G10/'Sch2 Peers SEC Data'!G11</f>
        <v>1.2581047381546135</v>
      </c>
      <c r="H11" s="21">
        <f>'Sch2 Peers SEC Data'!H10/'Sch2 Peers SEC Data'!H11</f>
        <v>1.2842767295597484</v>
      </c>
      <c r="I11" s="21">
        <f>'Sch2 Peers SEC Data'!I10/'Sch2 Peers SEC Data'!I11</f>
        <v>1.3480861244019138</v>
      </c>
      <c r="J11" s="21">
        <f>'Sch2 Peers SEC Data'!J10/'Sch2 Peers SEC Data'!J11</f>
        <v>1.4085365853658536</v>
      </c>
      <c r="K11" s="21">
        <f>'Sch2 Peers SEC Data'!K10/'Sch2 Peers SEC Data'!K11</f>
        <v>1.3711583924349882</v>
      </c>
      <c r="L11" s="21">
        <f>'Sch2 Peers SEC Data'!L10/'Sch2 Peers SEC Data'!L11</f>
        <v>1.4275092936802973</v>
      </c>
      <c r="M11" s="21">
        <f>'Sch2 Peers SEC Data'!M10/'Sch2 Peers SEC Data'!M11</f>
        <v>1.4444444444444444</v>
      </c>
      <c r="N11" s="21">
        <f>'Sch2 Peers SEC Data'!N10/'Sch2 Peers SEC Data'!N11</f>
        <v>1.4380165289256199</v>
      </c>
    </row>
    <row r="12" spans="1:16" x14ac:dyDescent="0.2">
      <c r="A12" t="s">
        <v>77</v>
      </c>
      <c r="B12" s="21">
        <f>'Sch2 Peers SEC Data'!B14/'Sch2 Peers SEC Data'!B15</f>
        <v>1.2577487765089723</v>
      </c>
      <c r="C12" s="21">
        <f>'Sch2 Peers SEC Data'!C14/'Sch2 Peers SEC Data'!C15</f>
        <v>0.95739910313901344</v>
      </c>
      <c r="D12" s="21">
        <f>'Sch2 Peers SEC Data'!D14/'Sch2 Peers SEC Data'!D15</f>
        <v>1.2854812398042414</v>
      </c>
      <c r="E12" s="21">
        <f>'Sch2 Peers SEC Data'!E14/'Sch2 Peers SEC Data'!E15</f>
        <v>2.2523191094619666</v>
      </c>
      <c r="F12" s="21">
        <f>'Sch2 Peers SEC Data'!F14/'Sch2 Peers SEC Data'!F15</f>
        <v>1.464926590538336</v>
      </c>
      <c r="G12" s="21">
        <f>'Sch2 Peers SEC Data'!G14/'Sch2 Peers SEC Data'!G15</f>
        <v>0.78178694158075601</v>
      </c>
      <c r="H12" s="21">
        <f>'Sch2 Peers SEC Data'!H14/'Sch2 Peers SEC Data'!H15</f>
        <v>1.474554707379135</v>
      </c>
      <c r="I12" s="21">
        <f>'Sch2 Peers SEC Data'!I14/'Sch2 Peers SEC Data'!I15</f>
        <v>1.2644110275689222</v>
      </c>
      <c r="J12" s="21">
        <f>'Sch2 Peers SEC Data'!J14/'Sch2 Peers SEC Data'!J15</f>
        <v>1.2028241335044929</v>
      </c>
      <c r="K12" s="21">
        <f>'Sch2 Peers SEC Data'!K14/'Sch2 Peers SEC Data'!K15</f>
        <v>1.5402684563758389</v>
      </c>
      <c r="L12" s="21">
        <f>'Sch2 Peers SEC Data'!L14/'Sch2 Peers SEC Data'!L15</f>
        <v>1.4629404617253949</v>
      </c>
      <c r="M12" s="21">
        <f>'Sch2 Peers SEC Data'!M14/'Sch2 Peers SEC Data'!M15</f>
        <v>1.1776315789473684</v>
      </c>
      <c r="N12" s="21">
        <f>'Sch2 Peers SEC Data'!N14/'Sch2 Peers SEC Data'!N15</f>
        <v>1.3044524669073405</v>
      </c>
    </row>
    <row r="14" spans="1:16" x14ac:dyDescent="0.2">
      <c r="A14" s="69" t="s">
        <v>78</v>
      </c>
      <c r="B14" s="69"/>
      <c r="C14" s="69"/>
      <c r="D14" s="69"/>
      <c r="E14" s="69"/>
    </row>
    <row r="15" spans="1:16" x14ac:dyDescent="0.2">
      <c r="A15" t="s">
        <v>79</v>
      </c>
      <c r="B15" s="6" t="s">
        <v>80</v>
      </c>
    </row>
    <row r="16" spans="1:16" x14ac:dyDescent="0.2">
      <c r="A16" t="s">
        <v>81</v>
      </c>
      <c r="B16" s="22">
        <f>AVERAGE(B8:L8)</f>
        <v>1.8834643142427063</v>
      </c>
    </row>
    <row r="17" spans="1:5" x14ac:dyDescent="0.2">
      <c r="A17" t="s">
        <v>82</v>
      </c>
      <c r="B17" s="22">
        <f>STDEV(B8:L8)</f>
        <v>8.2602458708285212E-2</v>
      </c>
    </row>
    <row r="18" spans="1:5" x14ac:dyDescent="0.2">
      <c r="A18" t="s">
        <v>83</v>
      </c>
      <c r="B18" s="23">
        <f>M8</f>
        <v>2.7428571428571429</v>
      </c>
    </row>
    <row r="19" spans="1:5" ht="16" x14ac:dyDescent="0.2">
      <c r="A19" t="s">
        <v>84</v>
      </c>
      <c r="B19" s="24">
        <f>(B18-B16)/B17</f>
        <v>10.403961843913461</v>
      </c>
    </row>
    <row r="20" spans="1:5" x14ac:dyDescent="0.2">
      <c r="A20" t="s">
        <v>85</v>
      </c>
      <c r="B20" s="22">
        <f>N8</f>
        <v>1.87</v>
      </c>
    </row>
    <row r="21" spans="1:5" x14ac:dyDescent="0.2">
      <c r="A21" t="s">
        <v>86</v>
      </c>
      <c r="B21" s="25">
        <f>(N8-B16)/B17</f>
        <v>-0.16300137372733822</v>
      </c>
    </row>
    <row r="23" spans="1:5" x14ac:dyDescent="0.2">
      <c r="A23" s="69" t="s">
        <v>87</v>
      </c>
      <c r="B23" s="69"/>
      <c r="C23" s="69"/>
      <c r="D23" s="69"/>
      <c r="E23" s="69"/>
    </row>
    <row r="24" spans="1:5" x14ac:dyDescent="0.2">
      <c r="A24" s="16" t="s">
        <v>88</v>
      </c>
      <c r="B24" s="16" t="s">
        <v>89</v>
      </c>
      <c r="C24" s="16" t="s">
        <v>90</v>
      </c>
      <c r="D24" s="16" t="s">
        <v>91</v>
      </c>
      <c r="E24" s="16" t="s">
        <v>92</v>
      </c>
    </row>
    <row r="25" spans="1:5" x14ac:dyDescent="0.2">
      <c r="A25" s="26" t="s">
        <v>93</v>
      </c>
      <c r="B25" s="19">
        <f>M8</f>
        <v>2.7428571428571429</v>
      </c>
      <c r="C25" s="19">
        <f>AVERAGE(B8:L8)</f>
        <v>1.8834643142427063</v>
      </c>
      <c r="D25" s="19">
        <f>STDEV(B8:L8)</f>
        <v>8.2602458708285212E-2</v>
      </c>
      <c r="E25" s="27">
        <f>(B25-C25)/D25</f>
        <v>10.403961843913461</v>
      </c>
    </row>
    <row r="26" spans="1:5" x14ac:dyDescent="0.2">
      <c r="A26" t="s">
        <v>94</v>
      </c>
      <c r="B26" s="19">
        <f>M10</f>
        <v>1.1997578692493946</v>
      </c>
      <c r="C26" s="19">
        <f>AVERAGE(B10:L10)</f>
        <v>1.1990260193966082</v>
      </c>
      <c r="D26" s="19">
        <f>STDEV(B10:L10)</f>
        <v>9.4395246402993335E-2</v>
      </c>
      <c r="E26" s="28">
        <f>(B26-C26)/D26</f>
        <v>7.7530371567862792E-3</v>
      </c>
    </row>
    <row r="27" spans="1:5" x14ac:dyDescent="0.2">
      <c r="A27" t="s">
        <v>95</v>
      </c>
      <c r="B27" s="19">
        <f>M11</f>
        <v>1.4444444444444444</v>
      </c>
      <c r="C27" s="19">
        <f>AVERAGE(B11:L11)</f>
        <v>1.3594016772546071</v>
      </c>
      <c r="D27" s="19">
        <f>STDEV(B11:L11)</f>
        <v>6.400558967816522E-2</v>
      </c>
      <c r="E27" s="28">
        <f>(B27-C27)/D27</f>
        <v>1.3286771923741632</v>
      </c>
    </row>
    <row r="28" spans="1:5" x14ac:dyDescent="0.2">
      <c r="A28" t="s">
        <v>96</v>
      </c>
      <c r="B28" s="19">
        <f>M12</f>
        <v>1.1776315789473684</v>
      </c>
      <c r="C28" s="19">
        <f>AVERAGE(B12:L12)</f>
        <v>1.3586055043260972</v>
      </c>
      <c r="D28" s="19">
        <f>STDEV(B12:L12)</f>
        <v>0.37546045248273824</v>
      </c>
      <c r="E28" s="28">
        <f>(B28-C28)/D28</f>
        <v>-0.48200529291976246</v>
      </c>
    </row>
    <row r="30" spans="1:5" x14ac:dyDescent="0.2">
      <c r="A30" s="69" t="s">
        <v>97</v>
      </c>
      <c r="B30" s="69"/>
      <c r="C30" s="69"/>
      <c r="D30" s="69"/>
      <c r="E30" s="69"/>
    </row>
    <row r="31" spans="1:5" x14ac:dyDescent="0.2">
      <c r="A31" t="s">
        <v>98</v>
      </c>
      <c r="B31" s="18">
        <f>M7</f>
        <v>210</v>
      </c>
    </row>
    <row r="32" spans="1:5" x14ac:dyDescent="0.2">
      <c r="A32" t="s">
        <v>99</v>
      </c>
      <c r="B32" s="18">
        <f>M6</f>
        <v>576</v>
      </c>
    </row>
    <row r="33" spans="1:2" x14ac:dyDescent="0.2">
      <c r="A33" t="s">
        <v>100</v>
      </c>
      <c r="B33" s="29">
        <f>B31*B16</f>
        <v>395.52750599096834</v>
      </c>
    </row>
    <row r="34" spans="1:2" ht="16" x14ac:dyDescent="0.2">
      <c r="A34" s="4" t="s">
        <v>101</v>
      </c>
      <c r="B34" s="30">
        <f>B32-B33</f>
        <v>180.47249400903166</v>
      </c>
    </row>
  </sheetData>
  <mergeCells count="5">
    <mergeCell ref="A1:P1"/>
    <mergeCell ref="A4:N4"/>
    <mergeCell ref="A14:E14"/>
    <mergeCell ref="A23:E23"/>
    <mergeCell ref="A30:E30"/>
  </mergeCells>
  <printOptions horizontalCentered="1"/>
  <pageMargins left="0.5" right="0.5" top="0.75" bottom="0.75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29"/>
  <sheetViews>
    <sheetView zoomScaleNormal="100" workbookViewId="0">
      <selection activeCell="G17" sqref="G17"/>
    </sheetView>
  </sheetViews>
  <sheetFormatPr baseColWidth="10" defaultColWidth="8.6640625" defaultRowHeight="15" x14ac:dyDescent="0.2"/>
  <cols>
    <col min="1" max="1" width="38" customWidth="1"/>
    <col min="2" max="4" width="14" customWidth="1"/>
    <col min="5" max="5" width="40" customWidth="1"/>
  </cols>
  <sheetData>
    <row r="1" spans="1:16" ht="19" x14ac:dyDescent="0.25">
      <c r="A1" s="68" t="s">
        <v>102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</row>
    <row r="2" spans="1:16" x14ac:dyDescent="0.2">
      <c r="A2" s="15" t="s">
        <v>103</v>
      </c>
    </row>
    <row r="4" spans="1:16" x14ac:dyDescent="0.2">
      <c r="A4" s="69" t="s">
        <v>104</v>
      </c>
      <c r="B4" s="69"/>
      <c r="C4" s="69"/>
      <c r="D4" s="69"/>
      <c r="E4" s="69"/>
      <c r="F4" s="69"/>
      <c r="G4" s="69"/>
      <c r="H4" s="69"/>
    </row>
    <row r="5" spans="1:16" x14ac:dyDescent="0.2">
      <c r="A5" s="16" t="s">
        <v>38</v>
      </c>
      <c r="B5" s="17" t="s">
        <v>45</v>
      </c>
      <c r="C5" s="17" t="s">
        <v>46</v>
      </c>
      <c r="D5" s="17" t="s">
        <v>47</v>
      </c>
      <c r="E5" s="17" t="s">
        <v>48</v>
      </c>
      <c r="F5" s="17" t="s">
        <v>49</v>
      </c>
      <c r="G5" s="31" t="s">
        <v>50</v>
      </c>
      <c r="H5" s="31" t="s">
        <v>51</v>
      </c>
    </row>
    <row r="6" spans="1:16" x14ac:dyDescent="0.2">
      <c r="A6" t="s">
        <v>105</v>
      </c>
      <c r="B6" s="18">
        <f>'Sch1 ALK SEC Data'!H12</f>
        <v>28</v>
      </c>
      <c r="C6" s="18">
        <f>'Sch1 ALK SEC Data'!I12</f>
        <v>39</v>
      </c>
      <c r="D6" s="18">
        <f>'Sch1 ALK SEC Data'!J12</f>
        <v>46</v>
      </c>
      <c r="E6" s="18">
        <f>'Sch1 ALK SEC Data'!K12</f>
        <v>47</v>
      </c>
      <c r="F6" s="18">
        <f>'Sch1 ALK SEC Data'!L12</f>
        <v>49</v>
      </c>
      <c r="G6" s="18">
        <f>'Sch1 ALK SEC Data'!M12</f>
        <v>70</v>
      </c>
      <c r="H6" s="18">
        <f>'Sch1 ALK SEC Data'!N12</f>
        <v>75</v>
      </c>
    </row>
    <row r="7" spans="1:16" x14ac:dyDescent="0.2">
      <c r="A7" t="s">
        <v>106</v>
      </c>
      <c r="B7" s="18">
        <f>'Sch1 ALK SEC Data'!H11</f>
        <v>234</v>
      </c>
      <c r="C7" s="18">
        <f>'Sch1 ALK SEC Data'!I11</f>
        <v>274</v>
      </c>
      <c r="D7" s="18">
        <f>'Sch1 ALK SEC Data'!J11</f>
        <v>274</v>
      </c>
      <c r="E7" s="18">
        <f>'Sch1 ALK SEC Data'!K11</f>
        <v>342</v>
      </c>
      <c r="F7" s="18">
        <f>'Sch1 ALK SEC Data'!L11</f>
        <v>307</v>
      </c>
      <c r="G7" s="18">
        <f>'Sch1 ALK SEC Data'!M11</f>
        <v>348</v>
      </c>
      <c r="H7" s="18">
        <f>'Sch1 ALK SEC Data'!N11</f>
        <v>338</v>
      </c>
    </row>
    <row r="8" spans="1:16" x14ac:dyDescent="0.2">
      <c r="A8" s="4" t="s">
        <v>107</v>
      </c>
      <c r="B8" s="19">
        <f t="shared" ref="B8:H8" si="0">B6/B7</f>
        <v>0.11965811965811966</v>
      </c>
      <c r="C8" s="19">
        <f t="shared" si="0"/>
        <v>0.14233576642335766</v>
      </c>
      <c r="D8" s="19">
        <f t="shared" si="0"/>
        <v>0.16788321167883211</v>
      </c>
      <c r="E8" s="19">
        <f t="shared" si="0"/>
        <v>0.13742690058479531</v>
      </c>
      <c r="F8" s="19">
        <f t="shared" si="0"/>
        <v>0.15960912052117263</v>
      </c>
      <c r="G8" s="20">
        <f t="shared" si="0"/>
        <v>0.20114942528735633</v>
      </c>
      <c r="H8" s="20">
        <f t="shared" si="0"/>
        <v>0.22189349112426035</v>
      </c>
    </row>
    <row r="10" spans="1:16" x14ac:dyDescent="0.2">
      <c r="A10" s="69" t="s">
        <v>78</v>
      </c>
      <c r="B10" s="69"/>
      <c r="C10" s="69"/>
      <c r="D10" s="69"/>
      <c r="E10" s="69"/>
    </row>
    <row r="11" spans="1:16" x14ac:dyDescent="0.2">
      <c r="A11" t="s">
        <v>79</v>
      </c>
      <c r="B11" s="6" t="s">
        <v>108</v>
      </c>
    </row>
    <row r="12" spans="1:16" x14ac:dyDescent="0.2">
      <c r="A12" t="s">
        <v>81</v>
      </c>
      <c r="B12" s="22">
        <f>AVERAGE(B8:F8)</f>
        <v>0.14538262377325548</v>
      </c>
    </row>
    <row r="13" spans="1:16" x14ac:dyDescent="0.2">
      <c r="A13" t="s">
        <v>82</v>
      </c>
      <c r="B13" s="22">
        <f>STDEV(B8:F8)</f>
        <v>1.8993397859168929E-2</v>
      </c>
    </row>
    <row r="14" spans="1:16" x14ac:dyDescent="0.2">
      <c r="A14" t="s">
        <v>89</v>
      </c>
      <c r="B14" s="20">
        <f>G8</f>
        <v>0.20114942528735633</v>
      </c>
    </row>
    <row r="15" spans="1:16" x14ac:dyDescent="0.2">
      <c r="A15" t="s">
        <v>84</v>
      </c>
      <c r="B15" s="27">
        <f>(G8-B12)/B13</f>
        <v>2.936115061012099</v>
      </c>
    </row>
    <row r="16" spans="1:16" x14ac:dyDescent="0.2">
      <c r="A16" t="s">
        <v>109</v>
      </c>
      <c r="B16" s="20">
        <f>H8</f>
        <v>0.22189349112426035</v>
      </c>
    </row>
    <row r="17" spans="1:5" x14ac:dyDescent="0.2">
      <c r="A17" t="s">
        <v>110</v>
      </c>
      <c r="B17" s="27">
        <f>(H8-B12)/B13</f>
        <v>4.0282875090762023</v>
      </c>
    </row>
    <row r="19" spans="1:5" x14ac:dyDescent="0.2">
      <c r="A19" s="69" t="s">
        <v>111</v>
      </c>
      <c r="B19" s="69"/>
      <c r="C19" s="69"/>
      <c r="D19" s="69"/>
      <c r="E19" s="69"/>
    </row>
    <row r="20" spans="1:5" x14ac:dyDescent="0.2">
      <c r="A20" s="16"/>
      <c r="B20" s="16" t="s">
        <v>50</v>
      </c>
      <c r="C20" s="16" t="s">
        <v>51</v>
      </c>
      <c r="D20" s="16" t="s">
        <v>112</v>
      </c>
    </row>
    <row r="21" spans="1:5" x14ac:dyDescent="0.2">
      <c r="A21" t="s">
        <v>106</v>
      </c>
      <c r="B21" s="18">
        <f>G7</f>
        <v>348</v>
      </c>
      <c r="C21" s="18">
        <f>H7</f>
        <v>338</v>
      </c>
      <c r="D21" s="18">
        <f>B21+C21</f>
        <v>686</v>
      </c>
    </row>
    <row r="22" spans="1:5" x14ac:dyDescent="0.2">
      <c r="A22" t="s">
        <v>113</v>
      </c>
      <c r="B22" s="29">
        <f>B21*B12</f>
        <v>50.593153073092907</v>
      </c>
      <c r="C22" s="29">
        <f>C21*B12</f>
        <v>49.13932683536035</v>
      </c>
      <c r="D22" s="29">
        <f>B22+C22</f>
        <v>99.732479908453257</v>
      </c>
    </row>
    <row r="23" spans="1:5" x14ac:dyDescent="0.2">
      <c r="A23" t="s">
        <v>114</v>
      </c>
      <c r="B23" s="18">
        <f>G6</f>
        <v>70</v>
      </c>
      <c r="C23" s="18">
        <f>H6</f>
        <v>75</v>
      </c>
      <c r="D23" s="18">
        <f>B23+C23</f>
        <v>145</v>
      </c>
    </row>
    <row r="24" spans="1:5" ht="16" x14ac:dyDescent="0.2">
      <c r="A24" s="4" t="s">
        <v>115</v>
      </c>
      <c r="B24" s="32">
        <f>B23-B22</f>
        <v>19.406846926907093</v>
      </c>
      <c r="C24" s="32">
        <f>C23-C22</f>
        <v>25.86067316463965</v>
      </c>
      <c r="D24" s="30">
        <f>B24+C24</f>
        <v>45.267520091546743</v>
      </c>
    </row>
    <row r="26" spans="1:5" x14ac:dyDescent="0.2">
      <c r="A26" s="69" t="s">
        <v>116</v>
      </c>
      <c r="B26" s="69"/>
      <c r="C26" s="69"/>
      <c r="D26" s="69"/>
      <c r="E26" s="69"/>
    </row>
    <row r="27" spans="1:5" x14ac:dyDescent="0.2">
      <c r="A27" t="s">
        <v>117</v>
      </c>
      <c r="B27" s="48">
        <v>43</v>
      </c>
      <c r="C27" s="10" t="s">
        <v>118</v>
      </c>
    </row>
    <row r="28" spans="1:5" x14ac:dyDescent="0.2">
      <c r="A28" t="s">
        <v>119</v>
      </c>
      <c r="B28" s="49">
        <f>D24</f>
        <v>45.267520091546743</v>
      </c>
    </row>
    <row r="29" spans="1:5" ht="16" x14ac:dyDescent="0.2">
      <c r="A29" s="4" t="s">
        <v>120</v>
      </c>
      <c r="B29" s="34">
        <f>1-ABS(B28-B27)/((ABS(B28)+ABS(B27))/2)</f>
        <v>0.94862164272441363</v>
      </c>
    </row>
  </sheetData>
  <mergeCells count="5">
    <mergeCell ref="A1:P1"/>
    <mergeCell ref="A4:H4"/>
    <mergeCell ref="A10:E10"/>
    <mergeCell ref="A19:E19"/>
    <mergeCell ref="A26:E26"/>
  </mergeCells>
  <printOptions horizontalCentered="1"/>
  <pageMargins left="0.5" right="0.5" top="0.75" bottom="0.75" header="0.511811023622047" footer="0.511811023622047"/>
  <pageSetup scale="55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30"/>
  <sheetViews>
    <sheetView zoomScaleNormal="100" workbookViewId="0">
      <selection activeCell="B20" sqref="B20"/>
    </sheetView>
  </sheetViews>
  <sheetFormatPr baseColWidth="10" defaultColWidth="8.6640625" defaultRowHeight="15" x14ac:dyDescent="0.2"/>
  <cols>
    <col min="1" max="1" width="40" customWidth="1"/>
    <col min="2" max="5" width="14" customWidth="1"/>
    <col min="6" max="6" width="35" customWidth="1"/>
  </cols>
  <sheetData>
    <row r="1" spans="1:6" ht="19" x14ac:dyDescent="0.25">
      <c r="A1" s="68" t="s">
        <v>121</v>
      </c>
      <c r="B1" s="68"/>
      <c r="C1" s="68"/>
      <c r="D1" s="68"/>
      <c r="E1" s="68"/>
      <c r="F1" s="68"/>
    </row>
    <row r="2" spans="1:6" x14ac:dyDescent="0.2">
      <c r="A2" s="15" t="s">
        <v>122</v>
      </c>
    </row>
    <row r="4" spans="1:6" x14ac:dyDescent="0.2">
      <c r="A4" s="69" t="s">
        <v>123</v>
      </c>
      <c r="B4" s="69"/>
      <c r="C4" s="69"/>
      <c r="D4" s="69"/>
      <c r="E4" s="69"/>
      <c r="F4" s="69"/>
    </row>
    <row r="5" spans="1:6" x14ac:dyDescent="0.2">
      <c r="A5" s="16"/>
      <c r="B5" s="16" t="s">
        <v>48</v>
      </c>
      <c r="C5" s="16" t="s">
        <v>49</v>
      </c>
      <c r="D5" s="16" t="s">
        <v>50</v>
      </c>
      <c r="E5" s="16" t="s">
        <v>51</v>
      </c>
    </row>
    <row r="6" spans="1:6" x14ac:dyDescent="0.2">
      <c r="A6" t="s">
        <v>124</v>
      </c>
      <c r="B6" s="18">
        <f>'Sch1 ALK SEC Data'!K7</f>
        <v>176</v>
      </c>
      <c r="C6" s="18">
        <f>'Sch1 ALK SEC Data'!L7</f>
        <v>111</v>
      </c>
      <c r="D6" s="18">
        <f>'Sch1 ALK SEC Data'!M7</f>
        <v>306</v>
      </c>
      <c r="E6" s="18">
        <f>'Sch1 ALK SEC Data'!N7</f>
        <v>177</v>
      </c>
    </row>
    <row r="7" spans="1:6" x14ac:dyDescent="0.2">
      <c r="A7" t="s">
        <v>125</v>
      </c>
      <c r="B7" t="s">
        <v>126</v>
      </c>
      <c r="C7" s="35">
        <f>C6-B6</f>
        <v>-65</v>
      </c>
      <c r="D7" s="36">
        <f>D6-C6</f>
        <v>195</v>
      </c>
      <c r="E7" s="35">
        <f>E6-D6</f>
        <v>-129</v>
      </c>
    </row>
    <row r="9" spans="1:6" x14ac:dyDescent="0.2">
      <c r="A9" s="69" t="s">
        <v>127</v>
      </c>
      <c r="B9" s="69"/>
      <c r="C9" s="69"/>
      <c r="D9" s="69"/>
      <c r="E9" s="69"/>
      <c r="F9" s="69"/>
    </row>
    <row r="10" spans="1:6" x14ac:dyDescent="0.2">
      <c r="A10" s="16"/>
      <c r="B10" s="16" t="s">
        <v>48</v>
      </c>
      <c r="C10" s="16" t="s">
        <v>49</v>
      </c>
      <c r="D10" s="16" t="s">
        <v>50</v>
      </c>
      <c r="E10" s="16" t="s">
        <v>51</v>
      </c>
    </row>
    <row r="11" spans="1:6" x14ac:dyDescent="0.2">
      <c r="A11" t="s">
        <v>128</v>
      </c>
      <c r="B11" s="18">
        <f>'Sch1 ALK SEC Data'!K6</f>
        <v>334</v>
      </c>
      <c r="C11" s="18">
        <f>'Sch1 ALK SEC Data'!L6</f>
        <v>334</v>
      </c>
      <c r="D11" s="18">
        <f>'Sch1 ALK SEC Data'!M6</f>
        <v>316</v>
      </c>
      <c r="E11" s="18">
        <f>'Sch1 ALK SEC Data'!N6</f>
        <v>436</v>
      </c>
    </row>
    <row r="12" spans="1:6" x14ac:dyDescent="0.2">
      <c r="A12" t="s">
        <v>125</v>
      </c>
      <c r="B12" t="s">
        <v>126</v>
      </c>
      <c r="C12" s="35">
        <f>C11-B11</f>
        <v>0</v>
      </c>
      <c r="D12" s="35">
        <f>D11-C11</f>
        <v>-18</v>
      </c>
      <c r="E12" s="36">
        <f>E11-D11</f>
        <v>120</v>
      </c>
    </row>
    <row r="14" spans="1:6" x14ac:dyDescent="0.2">
      <c r="A14" s="69" t="s">
        <v>129</v>
      </c>
      <c r="B14" s="69"/>
      <c r="C14" s="69"/>
      <c r="D14" s="69"/>
      <c r="E14" s="69"/>
      <c r="F14" s="69"/>
    </row>
    <row r="15" spans="1:6" x14ac:dyDescent="0.2">
      <c r="A15" t="s">
        <v>130</v>
      </c>
      <c r="B15" s="29">
        <f>E6-D6</f>
        <v>-129</v>
      </c>
    </row>
    <row r="16" spans="1:6" x14ac:dyDescent="0.2">
      <c r="A16" t="s">
        <v>131</v>
      </c>
      <c r="B16" s="37">
        <f>E12</f>
        <v>120</v>
      </c>
    </row>
    <row r="17" spans="1:6" ht="16" x14ac:dyDescent="0.2">
      <c r="A17" s="4" t="s">
        <v>132</v>
      </c>
      <c r="B17" s="30">
        <f>B16</f>
        <v>120</v>
      </c>
    </row>
    <row r="19" spans="1:6" x14ac:dyDescent="0.2">
      <c r="A19" s="69" t="s">
        <v>133</v>
      </c>
      <c r="B19" s="69"/>
      <c r="C19" s="69"/>
      <c r="D19" s="69"/>
      <c r="E19" s="69"/>
      <c r="F19" s="69"/>
    </row>
    <row r="20" spans="1:6" x14ac:dyDescent="0.2">
      <c r="A20" t="s">
        <v>134</v>
      </c>
      <c r="B20" s="33">
        <v>118</v>
      </c>
      <c r="C20" s="10" t="s">
        <v>135</v>
      </c>
    </row>
    <row r="21" spans="1:6" x14ac:dyDescent="0.2">
      <c r="A21" t="s">
        <v>136</v>
      </c>
      <c r="B21" s="33">
        <v>176</v>
      </c>
      <c r="C21" s="10" t="s">
        <v>137</v>
      </c>
    </row>
    <row r="22" spans="1:6" x14ac:dyDescent="0.2">
      <c r="A22" t="s">
        <v>138</v>
      </c>
      <c r="B22" s="38">
        <f>B21-B20</f>
        <v>58</v>
      </c>
    </row>
    <row r="23" spans="1:6" x14ac:dyDescent="0.2">
      <c r="A23" t="s">
        <v>139</v>
      </c>
      <c r="B23" s="39">
        <f>B22/B20</f>
        <v>0.49152542372881358</v>
      </c>
    </row>
    <row r="25" spans="1:6" x14ac:dyDescent="0.2">
      <c r="A25" s="69" t="s">
        <v>140</v>
      </c>
      <c r="B25" s="69"/>
      <c r="C25" s="69"/>
      <c r="D25" s="69"/>
      <c r="E25" s="69"/>
      <c r="F25" s="69"/>
    </row>
    <row r="26" spans="1:6" x14ac:dyDescent="0.2">
      <c r="A26" t="s">
        <v>141</v>
      </c>
      <c r="B26" s="33">
        <v>395</v>
      </c>
      <c r="C26" s="10" t="s">
        <v>142</v>
      </c>
    </row>
    <row r="27" spans="1:6" x14ac:dyDescent="0.2">
      <c r="A27" t="s">
        <v>143</v>
      </c>
      <c r="B27" s="40">
        <f>B22/B26</f>
        <v>0.14683544303797469</v>
      </c>
    </row>
    <row r="28" spans="1:6" x14ac:dyDescent="0.2">
      <c r="A28" t="s">
        <v>144</v>
      </c>
      <c r="B28" s="40">
        <f>B16/B26</f>
        <v>0.30379746835443039</v>
      </c>
    </row>
    <row r="29" spans="1:6" x14ac:dyDescent="0.2">
      <c r="A29" t="s">
        <v>145</v>
      </c>
      <c r="B29" s="41">
        <v>0.05</v>
      </c>
    </row>
    <row r="30" spans="1:6" ht="16" x14ac:dyDescent="0.2">
      <c r="A30" s="4" t="s">
        <v>146</v>
      </c>
      <c r="B30" s="42" t="s">
        <v>147</v>
      </c>
    </row>
  </sheetData>
  <mergeCells count="6">
    <mergeCell ref="A25:F25"/>
    <mergeCell ref="A1:F1"/>
    <mergeCell ref="A4:F4"/>
    <mergeCell ref="A9:F9"/>
    <mergeCell ref="A14:F14"/>
    <mergeCell ref="A19:F19"/>
  </mergeCells>
  <printOptions horizontalCentered="1"/>
  <pageMargins left="0.5" right="0.5" top="0.75" bottom="0.75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22"/>
  <sheetViews>
    <sheetView zoomScaleNormal="100" workbookViewId="0">
      <selection activeCell="A13" sqref="A13"/>
    </sheetView>
  </sheetViews>
  <sheetFormatPr baseColWidth="10" defaultColWidth="8.6640625" defaultRowHeight="15" x14ac:dyDescent="0.2"/>
  <cols>
    <col min="1" max="1" width="45" customWidth="1"/>
    <col min="2" max="4" width="15" customWidth="1"/>
    <col min="5" max="5" width="45" customWidth="1"/>
  </cols>
  <sheetData>
    <row r="1" spans="1:5" ht="19" x14ac:dyDescent="0.25">
      <c r="A1" s="68" t="s">
        <v>148</v>
      </c>
      <c r="B1" s="68"/>
      <c r="C1" s="68"/>
      <c r="D1" s="68"/>
      <c r="E1" s="68"/>
    </row>
    <row r="3" spans="1:5" x14ac:dyDescent="0.2">
      <c r="A3" s="69" t="s">
        <v>149</v>
      </c>
      <c r="B3" s="69"/>
      <c r="C3" s="69"/>
      <c r="D3" s="69"/>
      <c r="E3" s="69"/>
    </row>
    <row r="4" spans="1:5" x14ac:dyDescent="0.2">
      <c r="A4" s="16" t="s">
        <v>150</v>
      </c>
      <c r="B4" s="16" t="s">
        <v>151</v>
      </c>
      <c r="C4" s="16" t="s">
        <v>152</v>
      </c>
      <c r="D4" s="16" t="s">
        <v>153</v>
      </c>
    </row>
    <row r="5" spans="1:5" x14ac:dyDescent="0.2">
      <c r="A5" t="s">
        <v>141</v>
      </c>
      <c r="B5" s="43">
        <v>395</v>
      </c>
      <c r="C5" s="44">
        <v>0.05</v>
      </c>
      <c r="D5" s="29">
        <f>B5*C5</f>
        <v>19.75</v>
      </c>
    </row>
    <row r="6" spans="1:5" x14ac:dyDescent="0.2">
      <c r="A6" t="s">
        <v>154</v>
      </c>
      <c r="B6" s="43">
        <v>10447</v>
      </c>
      <c r="C6" s="44">
        <v>5.0000000000000001E-3</v>
      </c>
      <c r="D6" s="29">
        <f>B6*C6</f>
        <v>52.234999999999999</v>
      </c>
    </row>
    <row r="7" spans="1:5" x14ac:dyDescent="0.2">
      <c r="A7" t="s">
        <v>155</v>
      </c>
      <c r="B7" s="43">
        <v>20890</v>
      </c>
      <c r="C7" s="44">
        <v>5.0000000000000001E-3</v>
      </c>
      <c r="D7" s="29">
        <f>B7*C7</f>
        <v>104.45</v>
      </c>
    </row>
    <row r="9" spans="1:5" x14ac:dyDescent="0.2">
      <c r="A9" s="69" t="s">
        <v>156</v>
      </c>
      <c r="B9" s="69"/>
      <c r="C9" s="69"/>
      <c r="D9" s="69"/>
      <c r="E9" s="69"/>
    </row>
    <row r="10" spans="1:5" x14ac:dyDescent="0.2">
      <c r="A10" t="s">
        <v>157</v>
      </c>
      <c r="B10" s="45">
        <f>'Sch5 Balance Sheet Trail'!B22</f>
        <v>58</v>
      </c>
    </row>
    <row r="11" spans="1:5" x14ac:dyDescent="0.2">
      <c r="A11" t="s">
        <v>158</v>
      </c>
      <c r="B11" s="46">
        <f>B10/D5</f>
        <v>2.9367088607594938</v>
      </c>
    </row>
    <row r="12" spans="1:5" x14ac:dyDescent="0.2">
      <c r="A12" t="s">
        <v>159</v>
      </c>
      <c r="B12" s="47">
        <f>B10/D6</f>
        <v>1.1103666124246194</v>
      </c>
    </row>
    <row r="13" spans="1:5" x14ac:dyDescent="0.2">
      <c r="A13" t="s">
        <v>160</v>
      </c>
      <c r="B13" s="47">
        <f>B10/D7</f>
        <v>0.55528961225466733</v>
      </c>
    </row>
    <row r="15" spans="1:5" x14ac:dyDescent="0.2">
      <c r="A15" s="69" t="s">
        <v>161</v>
      </c>
      <c r="B15" s="69"/>
      <c r="C15" s="69"/>
      <c r="D15" s="69"/>
      <c r="E15" s="69"/>
    </row>
    <row r="16" spans="1:5" x14ac:dyDescent="0.2">
      <c r="A16" t="s">
        <v>162</v>
      </c>
      <c r="B16" s="9" t="s">
        <v>147</v>
      </c>
      <c r="C16" s="10" t="s">
        <v>163</v>
      </c>
    </row>
    <row r="17" spans="1:3" x14ac:dyDescent="0.2">
      <c r="A17" t="s">
        <v>164</v>
      </c>
      <c r="B17" s="8" t="s">
        <v>165</v>
      </c>
      <c r="C17" s="10" t="s">
        <v>166</v>
      </c>
    </row>
    <row r="18" spans="1:3" x14ac:dyDescent="0.2">
      <c r="A18" t="s">
        <v>167</v>
      </c>
      <c r="B18" t="s">
        <v>168</v>
      </c>
      <c r="C18" s="10" t="s">
        <v>169</v>
      </c>
    </row>
    <row r="19" spans="1:3" x14ac:dyDescent="0.2">
      <c r="A19" t="s">
        <v>170</v>
      </c>
      <c r="B19" s="8" t="s">
        <v>165</v>
      </c>
      <c r="C19" s="10" t="s">
        <v>171</v>
      </c>
    </row>
    <row r="20" spans="1:3" x14ac:dyDescent="0.2">
      <c r="A20" t="s">
        <v>172</v>
      </c>
      <c r="B20" s="9" t="s">
        <v>147</v>
      </c>
      <c r="C20" s="10" t="s">
        <v>173</v>
      </c>
    </row>
    <row r="21" spans="1:3" x14ac:dyDescent="0.2">
      <c r="A21" t="s">
        <v>174</v>
      </c>
      <c r="B21" t="s">
        <v>175</v>
      </c>
      <c r="C21" s="10" t="s">
        <v>176</v>
      </c>
    </row>
    <row r="22" spans="1:3" x14ac:dyDescent="0.2">
      <c r="A22" t="s">
        <v>177</v>
      </c>
      <c r="B22" t="s">
        <v>178</v>
      </c>
      <c r="C22" s="10" t="s">
        <v>179</v>
      </c>
    </row>
  </sheetData>
  <mergeCells count="4">
    <mergeCell ref="A1:E1"/>
    <mergeCell ref="A3:E3"/>
    <mergeCell ref="A9:E9"/>
    <mergeCell ref="A15:E15"/>
  </mergeCells>
  <printOptions horizontalCentered="1"/>
  <pageMargins left="0.5" right="0.5" top="0.75" bottom="0.75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45BFC-FB49-244E-BCA5-54F20EF52024}">
  <dimension ref="A1:E73"/>
  <sheetViews>
    <sheetView topLeftCell="A27" zoomScaleNormal="100" workbookViewId="0">
      <selection activeCell="E59" sqref="E59"/>
    </sheetView>
  </sheetViews>
  <sheetFormatPr baseColWidth="10" defaultColWidth="8.6640625" defaultRowHeight="15" x14ac:dyDescent="0.2"/>
  <cols>
    <col min="1" max="1" width="45" customWidth="1"/>
    <col min="2" max="4" width="18" customWidth="1"/>
    <col min="5" max="5" width="35" customWidth="1"/>
  </cols>
  <sheetData>
    <row r="1" spans="1:5" ht="18" x14ac:dyDescent="0.2">
      <c r="A1" s="71" t="s">
        <v>180</v>
      </c>
      <c r="B1" s="71"/>
      <c r="C1" s="71"/>
      <c r="D1" s="71"/>
      <c r="E1" s="71"/>
    </row>
    <row r="2" spans="1:5" x14ac:dyDescent="0.2">
      <c r="A2" s="53" t="s">
        <v>181</v>
      </c>
    </row>
    <row r="3" spans="1:5" x14ac:dyDescent="0.2">
      <c r="A3" t="s">
        <v>182</v>
      </c>
    </row>
    <row r="5" spans="1:5" x14ac:dyDescent="0.2">
      <c r="A5" s="54" t="s">
        <v>183</v>
      </c>
      <c r="B5" s="54" t="s">
        <v>184</v>
      </c>
      <c r="C5" s="54" t="s">
        <v>185</v>
      </c>
      <c r="D5" s="54" t="s">
        <v>186</v>
      </c>
      <c r="E5" s="54" t="s">
        <v>187</v>
      </c>
    </row>
    <row r="7" spans="1:5" ht="16" x14ac:dyDescent="0.2">
      <c r="A7" s="70" t="s">
        <v>188</v>
      </c>
      <c r="B7" s="70"/>
      <c r="C7" s="70"/>
      <c r="D7" s="70"/>
      <c r="E7" s="70"/>
    </row>
    <row r="8" spans="1:5" x14ac:dyDescent="0.2">
      <c r="A8" s="55" t="s">
        <v>189</v>
      </c>
      <c r="B8" s="56">
        <v>395</v>
      </c>
      <c r="C8" s="56">
        <v>395</v>
      </c>
      <c r="D8" s="56">
        <v>395</v>
      </c>
      <c r="E8" s="55" t="s">
        <v>190</v>
      </c>
    </row>
    <row r="9" spans="1:5" x14ac:dyDescent="0.2">
      <c r="A9" s="55" t="s">
        <v>191</v>
      </c>
      <c r="B9" s="56">
        <v>26500</v>
      </c>
      <c r="C9" s="56">
        <v>26500</v>
      </c>
      <c r="D9" s="56">
        <v>26500</v>
      </c>
      <c r="E9" s="55" t="s">
        <v>192</v>
      </c>
    </row>
    <row r="10" spans="1:5" x14ac:dyDescent="0.2">
      <c r="A10" s="55" t="s">
        <v>193</v>
      </c>
      <c r="B10" s="56">
        <v>217831</v>
      </c>
      <c r="C10" s="56">
        <v>217831</v>
      </c>
      <c r="D10" s="56">
        <v>217831</v>
      </c>
      <c r="E10" s="55" t="s">
        <v>194</v>
      </c>
    </row>
    <row r="11" spans="1:5" x14ac:dyDescent="0.2">
      <c r="A11" s="55" t="s">
        <v>195</v>
      </c>
      <c r="B11" s="56">
        <v>7.4999999999999997E-3</v>
      </c>
      <c r="C11" s="56">
        <v>7.4999999999999997E-3</v>
      </c>
      <c r="D11" s="56">
        <v>7.4999999999999997E-3</v>
      </c>
      <c r="E11" s="55" t="s">
        <v>196</v>
      </c>
    </row>
    <row r="12" spans="1:5" x14ac:dyDescent="0.2">
      <c r="A12" s="55" t="s">
        <v>197</v>
      </c>
      <c r="B12" s="56">
        <v>120</v>
      </c>
      <c r="C12" s="56">
        <v>120</v>
      </c>
      <c r="D12" s="56">
        <v>120</v>
      </c>
      <c r="E12" s="55" t="s">
        <v>198</v>
      </c>
    </row>
    <row r="13" spans="1:5" x14ac:dyDescent="0.2">
      <c r="A13" s="55" t="s">
        <v>199</v>
      </c>
      <c r="B13" s="56">
        <v>58</v>
      </c>
      <c r="C13" s="56">
        <v>58</v>
      </c>
      <c r="D13" s="56">
        <v>58</v>
      </c>
      <c r="E13" s="55" t="s">
        <v>200</v>
      </c>
    </row>
    <row r="15" spans="1:5" ht="16" x14ac:dyDescent="0.2">
      <c r="A15" s="70" t="s">
        <v>201</v>
      </c>
      <c r="B15" s="70"/>
      <c r="C15" s="70"/>
      <c r="D15" s="70"/>
      <c r="E15" s="70"/>
    </row>
    <row r="16" spans="1:5" x14ac:dyDescent="0.2">
      <c r="A16" s="55" t="s">
        <v>202</v>
      </c>
      <c r="B16" s="56">
        <v>0.5</v>
      </c>
      <c r="C16" s="56">
        <v>1</v>
      </c>
      <c r="D16" s="56">
        <v>2</v>
      </c>
      <c r="E16" s="55" t="s">
        <v>203</v>
      </c>
    </row>
    <row r="17" spans="1:5" x14ac:dyDescent="0.2">
      <c r="A17" s="55" t="s">
        <v>204</v>
      </c>
      <c r="B17" s="57">
        <f>B9*B16</f>
        <v>13250</v>
      </c>
      <c r="C17" s="57">
        <f>C9*C16</f>
        <v>26500</v>
      </c>
      <c r="D17" s="57">
        <f>D9*D16</f>
        <v>53000</v>
      </c>
      <c r="E17" s="55" t="s">
        <v>205</v>
      </c>
    </row>
    <row r="18" spans="1:5" x14ac:dyDescent="0.2">
      <c r="A18" s="55" t="s">
        <v>206</v>
      </c>
      <c r="B18" s="57">
        <f>B17*B10/1000000000</f>
        <v>2.8862607499999999</v>
      </c>
      <c r="C18" s="57">
        <f>C17*C10/1000000000</f>
        <v>5.7725214999999999</v>
      </c>
      <c r="D18" s="57">
        <f>D17*D10/1000000000</f>
        <v>11.545043</v>
      </c>
      <c r="E18" s="55" t="s">
        <v>207</v>
      </c>
    </row>
    <row r="19" spans="1:5" x14ac:dyDescent="0.2">
      <c r="A19" s="58" t="s">
        <v>208</v>
      </c>
      <c r="B19" s="59">
        <f>B17*B10*B11/1000000</f>
        <v>21.646955625</v>
      </c>
      <c r="C19" s="59">
        <f>C17*C10*C11/1000000</f>
        <v>43.293911250000001</v>
      </c>
      <c r="D19" s="59">
        <f>D17*D10*D11/1000000</f>
        <v>86.587822500000001</v>
      </c>
      <c r="E19" s="55" t="s">
        <v>209</v>
      </c>
    </row>
    <row r="21" spans="1:5" ht="16" x14ac:dyDescent="0.2">
      <c r="A21" s="70" t="s">
        <v>210</v>
      </c>
      <c r="B21" s="70"/>
      <c r="C21" s="70"/>
      <c r="D21" s="70"/>
      <c r="E21" s="70"/>
    </row>
    <row r="22" spans="1:5" x14ac:dyDescent="0.2">
      <c r="A22" s="55" t="s">
        <v>211</v>
      </c>
      <c r="B22" s="57">
        <f>B12</f>
        <v>120</v>
      </c>
      <c r="C22" s="57">
        <f>C12+C13</f>
        <v>178</v>
      </c>
      <c r="D22" s="57">
        <f>D12+D13</f>
        <v>178</v>
      </c>
      <c r="E22" s="55" t="s">
        <v>212</v>
      </c>
    </row>
    <row r="23" spans="1:5" x14ac:dyDescent="0.2">
      <c r="A23" s="55" t="s">
        <v>213</v>
      </c>
      <c r="B23" s="60">
        <v>0.5</v>
      </c>
      <c r="C23" s="60">
        <v>0.75</v>
      </c>
      <c r="D23" s="60">
        <v>1</v>
      </c>
      <c r="E23" s="55" t="s">
        <v>214</v>
      </c>
    </row>
    <row r="24" spans="1:5" x14ac:dyDescent="0.2">
      <c r="A24" s="58" t="s">
        <v>215</v>
      </c>
      <c r="B24" s="59">
        <f>B22*B23</f>
        <v>60</v>
      </c>
      <c r="C24" s="59">
        <f>C22*C23</f>
        <v>133.5</v>
      </c>
      <c r="D24" s="59">
        <f>D22*D23</f>
        <v>178</v>
      </c>
      <c r="E24" s="55" t="s">
        <v>216</v>
      </c>
    </row>
    <row r="26" spans="1:5" ht="16" x14ac:dyDescent="0.2">
      <c r="A26" s="70" t="s">
        <v>217</v>
      </c>
      <c r="B26" s="70"/>
      <c r="C26" s="70"/>
      <c r="D26" s="70"/>
      <c r="E26" s="70"/>
    </row>
    <row r="27" spans="1:5" x14ac:dyDescent="0.2">
      <c r="A27" s="55" t="s">
        <v>218</v>
      </c>
      <c r="B27" s="56">
        <v>4</v>
      </c>
      <c r="C27" s="56">
        <v>12.5</v>
      </c>
      <c r="D27" s="56">
        <v>25</v>
      </c>
      <c r="E27" s="55" t="s">
        <v>219</v>
      </c>
    </row>
    <row r="28" spans="1:5" x14ac:dyDescent="0.2">
      <c r="A28" s="55" t="s">
        <v>220</v>
      </c>
      <c r="B28" s="56">
        <v>5</v>
      </c>
      <c r="C28" s="56">
        <v>20</v>
      </c>
      <c r="D28" s="56">
        <v>50</v>
      </c>
      <c r="E28" s="55" t="s">
        <v>221</v>
      </c>
    </row>
    <row r="29" spans="1:5" x14ac:dyDescent="0.2">
      <c r="A29" s="55" t="s">
        <v>222</v>
      </c>
      <c r="B29" s="56">
        <v>1</v>
      </c>
      <c r="C29" s="56">
        <v>3</v>
      </c>
      <c r="D29" s="56">
        <v>10</v>
      </c>
      <c r="E29" s="55" t="s">
        <v>223</v>
      </c>
    </row>
    <row r="30" spans="1:5" x14ac:dyDescent="0.2">
      <c r="A30" s="55" t="s">
        <v>224</v>
      </c>
      <c r="B30" s="56">
        <v>3</v>
      </c>
      <c r="C30" s="56">
        <v>10</v>
      </c>
      <c r="D30" s="56">
        <v>15</v>
      </c>
      <c r="E30" s="55" t="s">
        <v>225</v>
      </c>
    </row>
    <row r="31" spans="1:5" x14ac:dyDescent="0.2">
      <c r="A31" s="55" t="s">
        <v>226</v>
      </c>
      <c r="B31" s="56">
        <v>5</v>
      </c>
      <c r="C31" s="56">
        <v>12</v>
      </c>
      <c r="D31" s="56">
        <v>25</v>
      </c>
      <c r="E31" s="55" t="s">
        <v>227</v>
      </c>
    </row>
    <row r="32" spans="1:5" x14ac:dyDescent="0.2">
      <c r="A32" s="58" t="s">
        <v>228</v>
      </c>
      <c r="B32" s="59">
        <f>SUM(B27:B31)</f>
        <v>18</v>
      </c>
      <c r="C32" s="59">
        <f>SUM(C27:C31)</f>
        <v>57.5</v>
      </c>
      <c r="D32" s="59">
        <f>SUM(D27:D31)</f>
        <v>125</v>
      </c>
      <c r="E32" s="55" t="s">
        <v>229</v>
      </c>
    </row>
    <row r="34" spans="1:5" ht="16" x14ac:dyDescent="0.2">
      <c r="A34" s="70" t="s">
        <v>230</v>
      </c>
      <c r="B34" s="70"/>
      <c r="C34" s="70"/>
      <c r="D34" s="70"/>
      <c r="E34" s="70"/>
    </row>
    <row r="35" spans="1:5" x14ac:dyDescent="0.2">
      <c r="A35" s="61" t="s">
        <v>231</v>
      </c>
    </row>
    <row r="36" spans="1:5" x14ac:dyDescent="0.2">
      <c r="A36" s="55" t="s">
        <v>232</v>
      </c>
      <c r="B36" s="60">
        <v>0.4</v>
      </c>
      <c r="C36" s="60">
        <v>0.6</v>
      </c>
      <c r="D36" s="60">
        <v>0.8</v>
      </c>
      <c r="E36" s="55" t="s">
        <v>233</v>
      </c>
    </row>
    <row r="37" spans="1:5" x14ac:dyDescent="0.2">
      <c r="A37" s="55" t="s">
        <v>234</v>
      </c>
      <c r="B37" s="56">
        <v>20</v>
      </c>
      <c r="C37" s="56">
        <v>50</v>
      </c>
      <c r="D37" s="56">
        <v>150</v>
      </c>
      <c r="E37" s="55" t="s">
        <v>235</v>
      </c>
    </row>
    <row r="38" spans="1:5" x14ac:dyDescent="0.2">
      <c r="A38" s="55" t="s">
        <v>236</v>
      </c>
      <c r="B38" s="57">
        <f>B36*B37</f>
        <v>8</v>
      </c>
      <c r="C38" s="57">
        <f>C36*C37</f>
        <v>30</v>
      </c>
      <c r="D38" s="57">
        <f>D36*D37</f>
        <v>120</v>
      </c>
      <c r="E38" s="55" t="s">
        <v>237</v>
      </c>
    </row>
    <row r="39" spans="1:5" x14ac:dyDescent="0.2">
      <c r="A39" s="61" t="s">
        <v>238</v>
      </c>
    </row>
    <row r="40" spans="1:5" x14ac:dyDescent="0.2">
      <c r="A40" s="55" t="s">
        <v>239</v>
      </c>
      <c r="B40" s="60">
        <v>0.5</v>
      </c>
      <c r="C40" s="60">
        <v>0.7</v>
      </c>
      <c r="D40" s="60">
        <v>0.85</v>
      </c>
      <c r="E40" s="55" t="s">
        <v>240</v>
      </c>
    </row>
    <row r="41" spans="1:5" x14ac:dyDescent="0.2">
      <c r="A41" s="55" t="s">
        <v>241</v>
      </c>
      <c r="B41" s="56">
        <v>150</v>
      </c>
      <c r="C41" s="56">
        <v>500</v>
      </c>
      <c r="D41" s="56">
        <v>1500</v>
      </c>
      <c r="E41" s="55" t="s">
        <v>242</v>
      </c>
    </row>
    <row r="42" spans="1:5" x14ac:dyDescent="0.2">
      <c r="A42" s="55" t="s">
        <v>243</v>
      </c>
      <c r="B42" s="57">
        <f>B40*B17*B41/1000000</f>
        <v>0.99375000000000002</v>
      </c>
      <c r="C42" s="57">
        <f>C40*C17*C41/1000000</f>
        <v>9.2750000000000004</v>
      </c>
      <c r="D42" s="57">
        <f>D40*D17*D41/1000000</f>
        <v>67.575000000000003</v>
      </c>
      <c r="E42" s="55" t="s">
        <v>244</v>
      </c>
    </row>
    <row r="43" spans="1:5" x14ac:dyDescent="0.2">
      <c r="A43" s="61" t="s">
        <v>245</v>
      </c>
    </row>
    <row r="44" spans="1:5" x14ac:dyDescent="0.2">
      <c r="A44" s="55" t="s">
        <v>246</v>
      </c>
      <c r="B44" s="60">
        <v>0.25</v>
      </c>
      <c r="C44" s="60">
        <v>0.4</v>
      </c>
      <c r="D44" s="60">
        <v>0.6</v>
      </c>
      <c r="E44" s="55" t="s">
        <v>247</v>
      </c>
    </row>
    <row r="45" spans="1:5" x14ac:dyDescent="0.2">
      <c r="A45" s="55" t="s">
        <v>248</v>
      </c>
      <c r="B45" s="56">
        <v>10</v>
      </c>
      <c r="C45" s="56">
        <v>25</v>
      </c>
      <c r="D45" s="56">
        <v>75</v>
      </c>
      <c r="E45" s="55" t="s">
        <v>249</v>
      </c>
    </row>
    <row r="46" spans="1:5" x14ac:dyDescent="0.2">
      <c r="A46" s="55" t="s">
        <v>250</v>
      </c>
      <c r="B46" s="57">
        <f>B44*B45</f>
        <v>2.5</v>
      </c>
      <c r="C46" s="57">
        <f>C44*C45</f>
        <v>10</v>
      </c>
      <c r="D46" s="57">
        <f>D44*D45</f>
        <v>45</v>
      </c>
      <c r="E46" s="55" t="s">
        <v>237</v>
      </c>
    </row>
    <row r="47" spans="1:5" x14ac:dyDescent="0.2">
      <c r="A47" s="61" t="s">
        <v>251</v>
      </c>
    </row>
    <row r="48" spans="1:5" x14ac:dyDescent="0.2">
      <c r="A48" s="55" t="s">
        <v>252</v>
      </c>
      <c r="B48" s="60">
        <v>0.2</v>
      </c>
      <c r="C48" s="60">
        <v>0.35</v>
      </c>
      <c r="D48" s="60">
        <v>0.5</v>
      </c>
      <c r="E48" s="55" t="s">
        <v>253</v>
      </c>
    </row>
    <row r="49" spans="1:5" x14ac:dyDescent="0.2">
      <c r="A49" s="55" t="s">
        <v>254</v>
      </c>
      <c r="B49" s="56">
        <v>5</v>
      </c>
      <c r="C49" s="56">
        <v>15</v>
      </c>
      <c r="D49" s="56">
        <v>40</v>
      </c>
      <c r="E49" s="55" t="s">
        <v>255</v>
      </c>
    </row>
    <row r="50" spans="1:5" x14ac:dyDescent="0.2">
      <c r="A50" s="55" t="s">
        <v>256</v>
      </c>
      <c r="B50" s="57">
        <f>B48*B49</f>
        <v>1</v>
      </c>
      <c r="C50" s="57">
        <f>C48*C49</f>
        <v>5.25</v>
      </c>
      <c r="D50" s="57">
        <f>D48*D49</f>
        <v>20</v>
      </c>
      <c r="E50" s="55" t="s">
        <v>237</v>
      </c>
    </row>
    <row r="51" spans="1:5" x14ac:dyDescent="0.2">
      <c r="A51" s="61" t="s">
        <v>257</v>
      </c>
    </row>
    <row r="52" spans="1:5" x14ac:dyDescent="0.2">
      <c r="A52" s="55" t="s">
        <v>258</v>
      </c>
      <c r="B52" s="60">
        <v>0.15</v>
      </c>
      <c r="C52" s="60">
        <v>0.3</v>
      </c>
      <c r="D52" s="60">
        <v>0.5</v>
      </c>
      <c r="E52" s="55" t="s">
        <v>259</v>
      </c>
    </row>
    <row r="53" spans="1:5" x14ac:dyDescent="0.2">
      <c r="A53" s="55" t="s">
        <v>260</v>
      </c>
      <c r="B53" s="56">
        <v>15</v>
      </c>
      <c r="C53" s="56">
        <v>40</v>
      </c>
      <c r="D53" s="56">
        <v>100</v>
      </c>
      <c r="E53" s="55" t="s">
        <v>261</v>
      </c>
    </row>
    <row r="54" spans="1:5" x14ac:dyDescent="0.2">
      <c r="A54" s="55" t="s">
        <v>262</v>
      </c>
      <c r="B54" s="57">
        <f>B52*B53</f>
        <v>2.25</v>
      </c>
      <c r="C54" s="57">
        <f>C52*C53</f>
        <v>12</v>
      </c>
      <c r="D54" s="57">
        <f>D52*D53</f>
        <v>50</v>
      </c>
      <c r="E54" s="55" t="s">
        <v>237</v>
      </c>
    </row>
    <row r="55" spans="1:5" x14ac:dyDescent="0.2">
      <c r="A55" s="58" t="s">
        <v>263</v>
      </c>
      <c r="B55" s="59">
        <f>B38+B42+B46+B50+B54</f>
        <v>14.74375</v>
      </c>
      <c r="C55" s="59">
        <f>C38+C42+C46+C50+C54</f>
        <v>66.525000000000006</v>
      </c>
      <c r="D55" s="59">
        <f>D38+D42+D46+D50+D54</f>
        <v>302.57499999999999</v>
      </c>
      <c r="E55" s="55" t="s">
        <v>264</v>
      </c>
    </row>
    <row r="57" spans="1:5" ht="16" x14ac:dyDescent="0.2">
      <c r="A57" s="70" t="s">
        <v>265</v>
      </c>
      <c r="B57" s="70"/>
      <c r="C57" s="70"/>
      <c r="D57" s="70"/>
      <c r="E57" s="70"/>
    </row>
    <row r="58" spans="1:5" x14ac:dyDescent="0.2">
      <c r="A58" s="55" t="s">
        <v>266</v>
      </c>
      <c r="B58" s="65">
        <f>B19</f>
        <v>21.646955625</v>
      </c>
      <c r="C58" s="65">
        <f>C19</f>
        <v>43.293911250000001</v>
      </c>
      <c r="D58" s="65">
        <f>D19</f>
        <v>86.587822500000001</v>
      </c>
      <c r="E58" s="55" t="s">
        <v>267</v>
      </c>
    </row>
    <row r="59" spans="1:5" x14ac:dyDescent="0.2">
      <c r="A59" s="55" t="s">
        <v>268</v>
      </c>
      <c r="B59" s="65">
        <f>B24</f>
        <v>60</v>
      </c>
      <c r="C59" s="65">
        <f>C24</f>
        <v>133.5</v>
      </c>
      <c r="D59" s="65">
        <f>D24</f>
        <v>178</v>
      </c>
      <c r="E59" s="55" t="s">
        <v>269</v>
      </c>
    </row>
    <row r="60" spans="1:5" x14ac:dyDescent="0.2">
      <c r="A60" s="55" t="s">
        <v>270</v>
      </c>
      <c r="B60" s="65">
        <f>B32</f>
        <v>18</v>
      </c>
      <c r="C60" s="65">
        <f>C32</f>
        <v>57.5</v>
      </c>
      <c r="D60" s="65">
        <f>D32</f>
        <v>125</v>
      </c>
      <c r="E60" s="55" t="s">
        <v>271</v>
      </c>
    </row>
    <row r="61" spans="1:5" x14ac:dyDescent="0.2">
      <c r="A61" s="55" t="s">
        <v>272</v>
      </c>
      <c r="B61" s="65">
        <f>B55</f>
        <v>14.74375</v>
      </c>
      <c r="C61" s="65">
        <f>C55</f>
        <v>66.525000000000006</v>
      </c>
      <c r="D61" s="65">
        <f>D55</f>
        <v>302.57499999999999</v>
      </c>
      <c r="E61" s="55" t="s">
        <v>273</v>
      </c>
    </row>
    <row r="62" spans="1:5" x14ac:dyDescent="0.2">
      <c r="A62" s="62" t="s">
        <v>274</v>
      </c>
      <c r="B62" s="66">
        <f>B58+B59+B60+B61</f>
        <v>114.39070562500001</v>
      </c>
      <c r="C62" s="66">
        <f>C58+C59+C60+C61</f>
        <v>300.81891125000004</v>
      </c>
      <c r="D62" s="66">
        <f>D58+D59+D60+D61</f>
        <v>692.16282249999995</v>
      </c>
      <c r="E62" s="55" t="s">
        <v>275</v>
      </c>
    </row>
    <row r="64" spans="1:5" x14ac:dyDescent="0.2">
      <c r="A64" s="55" t="s">
        <v>276</v>
      </c>
      <c r="B64" s="63">
        <f>B62/B8</f>
        <v>0.28959672310126583</v>
      </c>
      <c r="C64" s="63">
        <f>C62/C8</f>
        <v>0.76156686392405071</v>
      </c>
      <c r="D64" s="63">
        <f>D62/D8</f>
        <v>1.7523109430379746</v>
      </c>
      <c r="E64" s="55" t="s">
        <v>277</v>
      </c>
    </row>
    <row r="66" spans="1:5" ht="16" x14ac:dyDescent="0.2">
      <c r="A66" s="70" t="s">
        <v>278</v>
      </c>
      <c r="B66" s="70"/>
      <c r="C66" s="70"/>
      <c r="D66" s="70"/>
      <c r="E66" s="70"/>
    </row>
    <row r="67" spans="1:5" x14ac:dyDescent="0.2">
      <c r="A67" s="55" t="s">
        <v>279</v>
      </c>
      <c r="B67" s="56">
        <v>14</v>
      </c>
      <c r="C67" s="56">
        <v>43</v>
      </c>
      <c r="D67" s="56">
        <v>86</v>
      </c>
      <c r="E67" s="55" t="s">
        <v>280</v>
      </c>
    </row>
    <row r="68" spans="1:5" x14ac:dyDescent="0.2">
      <c r="A68" s="55" t="s">
        <v>281</v>
      </c>
      <c r="B68" s="56">
        <v>120</v>
      </c>
      <c r="C68" s="56">
        <v>150</v>
      </c>
      <c r="D68" s="56">
        <v>200</v>
      </c>
      <c r="E68" s="55" t="s">
        <v>280</v>
      </c>
    </row>
    <row r="69" spans="1:5" x14ac:dyDescent="0.2">
      <c r="A69" s="55" t="s">
        <v>282</v>
      </c>
      <c r="B69" s="56">
        <v>18</v>
      </c>
      <c r="C69" s="56">
        <v>50</v>
      </c>
      <c r="D69" s="56">
        <v>95</v>
      </c>
      <c r="E69" s="55" t="s">
        <v>280</v>
      </c>
    </row>
    <row r="70" spans="1:5" x14ac:dyDescent="0.2">
      <c r="A70" s="55" t="s">
        <v>283</v>
      </c>
      <c r="B70" s="56">
        <v>8</v>
      </c>
      <c r="C70" s="56">
        <v>75</v>
      </c>
      <c r="D70" s="56">
        <v>199</v>
      </c>
      <c r="E70" s="55" t="s">
        <v>280</v>
      </c>
    </row>
    <row r="71" spans="1:5" x14ac:dyDescent="0.2">
      <c r="A71" s="64" t="s">
        <v>284</v>
      </c>
      <c r="B71" s="57">
        <f>SUM(B67:B70)</f>
        <v>160</v>
      </c>
      <c r="C71" s="57">
        <f>SUM(C67:C70)</f>
        <v>318</v>
      </c>
      <c r="D71" s="57">
        <f>SUM(D67:D70)</f>
        <v>580</v>
      </c>
      <c r="E71" s="55" t="s">
        <v>285</v>
      </c>
    </row>
    <row r="72" spans="1:5" x14ac:dyDescent="0.2">
      <c r="A72" s="55" t="s">
        <v>286</v>
      </c>
      <c r="B72" s="57">
        <f>B62-B71</f>
        <v>-45.60929437499999</v>
      </c>
      <c r="C72" s="57">
        <f>C62-C71</f>
        <v>-17.181088749999958</v>
      </c>
      <c r="D72" s="57">
        <f>D62-D71</f>
        <v>112.16282249999995</v>
      </c>
      <c r="E72" s="55" t="s">
        <v>287</v>
      </c>
    </row>
    <row r="73" spans="1:5" x14ac:dyDescent="0.2">
      <c r="A73" s="55" t="s">
        <v>288</v>
      </c>
      <c r="B73" s="63">
        <f>(B62-B71)/B71</f>
        <v>-0.28505808984374992</v>
      </c>
      <c r="C73" s="63">
        <f>(C62-C71)/C71</f>
        <v>-5.4028580974842637E-2</v>
      </c>
      <c r="D73" s="63">
        <f>(D62-D71)/D71</f>
        <v>0.19338417672413785</v>
      </c>
      <c r="E73" s="55" t="s">
        <v>289</v>
      </c>
    </row>
  </sheetData>
  <mergeCells count="8">
    <mergeCell ref="A57:E57"/>
    <mergeCell ref="A66:E66"/>
    <mergeCell ref="A1:E1"/>
    <mergeCell ref="A7:E7"/>
    <mergeCell ref="A15:E15"/>
    <mergeCell ref="A21:E21"/>
    <mergeCell ref="A26:E26"/>
    <mergeCell ref="A34:E3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Sch1 ALK SEC Data</vt:lpstr>
      <vt:lpstr>Sch2 Peers SEC Data</vt:lpstr>
      <vt:lpstr>Sch3 Issuance Analysis</vt:lpstr>
      <vt:lpstr>Sch4 Partner Redemptions</vt:lpstr>
      <vt:lpstr>Sch5 Balance Sheet Trail</vt:lpstr>
      <vt:lpstr>Sch6 Materiality</vt:lpstr>
      <vt:lpstr>Sch7 Financial Impact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tommysbitsandbobs@gmail.com</cp:lastModifiedBy>
  <cp:revision>0</cp:revision>
  <dcterms:created xsi:type="dcterms:W3CDTF">2025-12-10T20:08:43Z</dcterms:created>
  <dcterms:modified xsi:type="dcterms:W3CDTF">2025-12-14T19:50:48Z</dcterms:modified>
  <dc:language>en-US</dc:language>
</cp:coreProperties>
</file>